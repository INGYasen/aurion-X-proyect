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en\Downloads\metodo numerico 6to\"/>
    </mc:Choice>
  </mc:AlternateContent>
  <xr:revisionPtr revIDLastSave="0" documentId="13_ncr:1_{2237EAC0-9415-4590-8D46-43F352BAFE98}" xr6:coauthVersionLast="47" xr6:coauthVersionMax="47" xr10:uidLastSave="{00000000-0000-0000-0000-000000000000}"/>
  <bookViews>
    <workbookView xWindow="-98" yWindow="-98" windowWidth="19396" windowHeight="11475" xr2:uid="{BE44B6A3-4D1D-4FD4-A569-3986A599CB55}"/>
  </bookViews>
  <sheets>
    <sheet name="directo;cramer" sheetId="1" r:id="rId1"/>
    <sheet name="regresiva" sheetId="3" r:id="rId2"/>
    <sheet name="inversa" sheetId="2" r:id="rId3"/>
    <sheet name="gauss" sheetId="4" r:id="rId4"/>
    <sheet name="factorizacion lu" sheetId="5" r:id="rId5"/>
    <sheet name="cholesk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3" l="1"/>
  <c r="C13" i="3"/>
  <c r="C14" i="3" s="1"/>
  <c r="E26" i="1"/>
  <c r="D26" i="1"/>
  <c r="C26" i="1"/>
  <c r="E25" i="1"/>
  <c r="D25" i="1"/>
  <c r="C25" i="1"/>
  <c r="E24" i="1"/>
  <c r="D24" i="1"/>
  <c r="C24" i="1"/>
  <c r="C27" i="1" s="1"/>
  <c r="E31" i="1" s="1"/>
  <c r="E20" i="1"/>
  <c r="D20" i="1"/>
  <c r="C20" i="1"/>
  <c r="E19" i="1"/>
  <c r="D19" i="1"/>
  <c r="C19" i="1"/>
  <c r="E18" i="1"/>
  <c r="D18" i="1"/>
  <c r="C18" i="1"/>
  <c r="C21" i="1" s="1"/>
  <c r="D31" i="1" s="1"/>
  <c r="E14" i="1"/>
  <c r="D14" i="1"/>
  <c r="C14" i="1"/>
  <c r="E13" i="1"/>
  <c r="D13" i="1"/>
  <c r="C13" i="1"/>
  <c r="C15" i="1" s="1"/>
  <c r="C31" i="1" s="1"/>
  <c r="E12" i="1"/>
  <c r="D12" i="1"/>
  <c r="C12" i="1"/>
  <c r="C9" i="1"/>
  <c r="C23" i="2"/>
  <c r="C22" i="2"/>
  <c r="C21" i="2"/>
  <c r="C18" i="2"/>
  <c r="C17" i="2"/>
  <c r="C16" i="2"/>
  <c r="E13" i="2"/>
  <c r="D13" i="2"/>
  <c r="C13" i="2"/>
  <c r="E12" i="2"/>
  <c r="D12" i="2"/>
  <c r="C12" i="2"/>
  <c r="E11" i="2"/>
  <c r="D11" i="2"/>
  <c r="C11" i="2"/>
  <c r="C8" i="2"/>
  <c r="C21" i="3" l="1"/>
  <c r="C15" i="3"/>
  <c r="C22" i="3"/>
  <c r="C20" i="3" l="1"/>
  <c r="C16" i="3"/>
  <c r="C19" i="3" s="1"/>
  <c r="E22" i="3" l="1"/>
  <c r="E21" i="3"/>
  <c r="E20" i="3"/>
  <c r="E19" i="3"/>
</calcChain>
</file>

<file path=xl/sharedStrings.xml><?xml version="1.0" encoding="utf-8"?>
<sst xmlns="http://schemas.openxmlformats.org/spreadsheetml/2006/main" count="64" uniqueCount="42">
  <si>
    <t>A</t>
  </si>
  <si>
    <t>b</t>
  </si>
  <si>
    <t>|A|</t>
  </si>
  <si>
    <t>A^(-1)</t>
  </si>
  <si>
    <t>x = A^(-1)*b</t>
  </si>
  <si>
    <t>x1</t>
  </si>
  <si>
    <t>x2</t>
  </si>
  <si>
    <t>x3</t>
  </si>
  <si>
    <t>Comprobación A*x</t>
  </si>
  <si>
    <t>Conclusión:</t>
  </si>
  <si>
    <t>x1 = -14.9000000 ,  x2 = -29.5000000 ,  x3 = 19.8000000</t>
  </si>
  <si>
    <t>Evidencias Octave (Ventana de comandos)</t>
  </si>
  <si>
    <t>Matriz A y vector b</t>
  </si>
  <si>
    <t>inv(A) y X=inv(A)*b</t>
  </si>
  <si>
    <t>DA = det(A)</t>
  </si>
  <si>
    <t>X1</t>
  </si>
  <si>
    <t>DX1</t>
  </si>
  <si>
    <t>X2</t>
  </si>
  <si>
    <t>DX2</t>
  </si>
  <si>
    <t>X3</t>
  </si>
  <si>
    <t>DX3</t>
  </si>
  <si>
    <t>Solución</t>
  </si>
  <si>
    <t>x1=DX1/DA</t>
  </si>
  <si>
    <t>x2=DX2/DA</t>
  </si>
  <si>
    <t>x3=DX3/DA</t>
  </si>
  <si>
    <t xml:space="preserve"> Octave </t>
  </si>
  <si>
    <t>Ejercicio 2:</t>
  </si>
  <si>
    <t>Sustitución regresiva</t>
  </si>
  <si>
    <t>x4</t>
  </si>
  <si>
    <t>A*x</t>
  </si>
  <si>
    <t>x1 = -7.0000000 ,  x2 = 3.0000000 ,  x3 = 2.0000000 ,  x4 = 2.0000000</t>
  </si>
  <si>
    <t>x4, x3, x2, x1</t>
  </si>
  <si>
    <t>Ejercicio 3:</t>
  </si>
  <si>
    <t>x1 = 3.0000000 ,  x2 = -2.5000000 ,  x3 = 7.0000000</t>
  </si>
  <si>
    <t>f1, f2 y f3</t>
  </si>
  <si>
    <t>x1 = 1.0952381 ,  x2 = 1.9047619 ,  x3 = 1.5714286</t>
  </si>
  <si>
    <t>A y b</t>
  </si>
  <si>
    <t>x1 = -2.7343750 ,  x2 = 4.8828125 ,  x3 = -1.7187500</t>
  </si>
  <si>
    <t>Ejercicio 4:</t>
  </si>
  <si>
    <t>Ejercicio 5:</t>
  </si>
  <si>
    <t xml:space="preserve">Evidencias Octave </t>
  </si>
  <si>
    <t xml:space="preserve">Evidencias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</si>
</sst>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D06000"/>
      <name val="Calibri"/>
      <family val="2"/>
    </font>
    <font>
      <sz val="14"/>
      <color rgb="FF000000"/>
      <name val="Calibri"/>
      <family val="2"/>
    </font>
    <font>
      <b/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/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5" Type="http://schemas.openxmlformats.org/officeDocument/2006/relationships/image" Target="../media/image27.png"/><Relationship Id="rId4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7</xdr:col>
      <xdr:colOff>203200</xdr:colOff>
      <xdr:row>36</xdr:row>
      <xdr:rowOff>2803769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C42B58-FB52-48E8-C3C4-985DA171A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7496175"/>
          <a:ext cx="6604000" cy="2803769"/>
        </a:xfrm>
        <a:prstGeom prst="rect">
          <a:avLst/>
        </a:prstGeom>
      </xdr:spPr>
    </xdr:pic>
    <xdr:clientData/>
  </xdr:twoCellAnchor>
  <xdr:twoCellAnchor editAs="oneCell">
    <xdr:from>
      <xdr:col>1</xdr:col>
      <xdr:colOff>14432</xdr:colOff>
      <xdr:row>38</xdr:row>
      <xdr:rowOff>86591</xdr:rowOff>
    </xdr:from>
    <xdr:to>
      <xdr:col>7</xdr:col>
      <xdr:colOff>217632</xdr:colOff>
      <xdr:row>52</xdr:row>
      <xdr:rowOff>2828513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25F67D-C979-54C6-6A52-67418CB7F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205" y="10787785"/>
          <a:ext cx="6618144" cy="5267490"/>
        </a:xfrm>
        <a:prstGeom prst="rect">
          <a:avLst/>
        </a:prstGeom>
      </xdr:spPr>
    </xdr:pic>
    <xdr:clientData/>
  </xdr:twoCellAnchor>
  <xdr:twoCellAnchor editAs="oneCell">
    <xdr:from>
      <xdr:col>8</xdr:col>
      <xdr:colOff>137102</xdr:colOff>
      <xdr:row>0</xdr:row>
      <xdr:rowOff>115454</xdr:rowOff>
    </xdr:from>
    <xdr:to>
      <xdr:col>18</xdr:col>
      <xdr:colOff>584488</xdr:colOff>
      <xdr:row>2</xdr:row>
      <xdr:rowOff>57727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2D4137-454C-8D17-6D4A-FBAC1D8BE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58125" y="115454"/>
          <a:ext cx="7446818" cy="12339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57728</xdr:rowOff>
    </xdr:from>
    <xdr:to>
      <xdr:col>7</xdr:col>
      <xdr:colOff>887556</xdr:colOff>
      <xdr:row>1</xdr:row>
      <xdr:rowOff>1104034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288BAB-64D5-2BC3-B96C-DB62BA5C0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7728"/>
          <a:ext cx="7562273" cy="12267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7</xdr:col>
      <xdr:colOff>488950</xdr:colOff>
      <xdr:row>28</xdr:row>
      <xdr:rowOff>71560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702F37E-83E8-B648-4104-3C91317B2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6124575"/>
          <a:ext cx="6604000" cy="3624385"/>
        </a:xfrm>
        <a:prstGeom prst="rect">
          <a:avLst/>
        </a:prstGeom>
      </xdr:spPr>
    </xdr:pic>
    <xdr:clientData/>
  </xdr:twoCellAnchor>
  <xdr:twoCellAnchor editAs="oneCell">
    <xdr:from>
      <xdr:col>0</xdr:col>
      <xdr:colOff>252413</xdr:colOff>
      <xdr:row>30</xdr:row>
      <xdr:rowOff>47625</xdr:rowOff>
    </xdr:from>
    <xdr:to>
      <xdr:col>7</xdr:col>
      <xdr:colOff>484188</xdr:colOff>
      <xdr:row>46</xdr:row>
      <xdr:rowOff>776410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EAFFFC9-2153-DF29-D784-6FBC242D1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3" y="10086975"/>
          <a:ext cx="6604000" cy="3624385"/>
        </a:xfrm>
        <a:prstGeom prst="rect">
          <a:avLst/>
        </a:prstGeom>
      </xdr:spPr>
    </xdr:pic>
    <xdr:clientData/>
  </xdr:twoCellAnchor>
  <xdr:twoCellAnchor editAs="oneCell">
    <xdr:from>
      <xdr:col>1</xdr:col>
      <xdr:colOff>1300163</xdr:colOff>
      <xdr:row>0</xdr:row>
      <xdr:rowOff>14287</xdr:rowOff>
    </xdr:from>
    <xdr:to>
      <xdr:col>9</xdr:col>
      <xdr:colOff>4811</xdr:colOff>
      <xdr:row>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997B90-4588-C825-0A3A-BCDF34166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7338" y="14287"/>
          <a:ext cx="6619923" cy="15573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1</xdr:rowOff>
    </xdr:from>
    <xdr:to>
      <xdr:col>6</xdr:col>
      <xdr:colOff>992187</xdr:colOff>
      <xdr:row>31</xdr:row>
      <xdr:rowOff>148475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903A43-92FD-30C5-2C13-79E0482CF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6048376"/>
          <a:ext cx="6350000" cy="3682249"/>
        </a:xfrm>
        <a:prstGeom prst="rect">
          <a:avLst/>
        </a:prstGeom>
      </xdr:spPr>
    </xdr:pic>
    <xdr:clientData/>
  </xdr:twoCellAnchor>
  <xdr:twoCellAnchor editAs="oneCell">
    <xdr:from>
      <xdr:col>1</xdr:col>
      <xdr:colOff>27609</xdr:colOff>
      <xdr:row>34</xdr:row>
      <xdr:rowOff>117338</xdr:rowOff>
    </xdr:from>
    <xdr:to>
      <xdr:col>6</xdr:col>
      <xdr:colOff>1019796</xdr:colOff>
      <xdr:row>44</xdr:row>
      <xdr:rowOff>1215968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D69B96-6E44-A3A3-7FCC-80AB4D88A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990" y="10194512"/>
          <a:ext cx="6348274" cy="28931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215662</xdr:colOff>
      <xdr:row>26</xdr:row>
      <xdr:rowOff>134788</xdr:rowOff>
    </xdr:from>
    <xdr:to>
      <xdr:col>7</xdr:col>
      <xdr:colOff>451958</xdr:colOff>
      <xdr:row>26</xdr:row>
      <xdr:rowOff>3421091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9982A4-68E9-3170-B628-0AFF3DC85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662" y="3270850"/>
          <a:ext cx="7110471" cy="3286303"/>
        </a:xfrm>
        <a:prstGeom prst="rect">
          <a:avLst/>
        </a:prstGeom>
      </xdr:spPr>
    </xdr:pic>
    <xdr:clientData/>
  </xdr:twoCellAnchor>
  <xdr:twoCellAnchor editAs="oneCell">
    <xdr:from>
      <xdr:col>1</xdr:col>
      <xdr:colOff>125803</xdr:colOff>
      <xdr:row>28</xdr:row>
      <xdr:rowOff>71889</xdr:rowOff>
    </xdr:from>
    <xdr:to>
      <xdr:col>7</xdr:col>
      <xdr:colOff>115769</xdr:colOff>
      <xdr:row>28</xdr:row>
      <xdr:rowOff>1370428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BEE1A9A-A1F5-19F9-D2CB-22A3268E9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394" y="9830521"/>
          <a:ext cx="6603550" cy="1298539"/>
        </a:xfrm>
        <a:prstGeom prst="rect">
          <a:avLst/>
        </a:prstGeom>
      </xdr:spPr>
    </xdr:pic>
    <xdr:clientData/>
  </xdr:twoCellAnchor>
  <xdr:twoCellAnchor editAs="oneCell">
    <xdr:from>
      <xdr:col>1</xdr:col>
      <xdr:colOff>71887</xdr:colOff>
      <xdr:row>28</xdr:row>
      <xdr:rowOff>1940944</xdr:rowOff>
    </xdr:from>
    <xdr:to>
      <xdr:col>7</xdr:col>
      <xdr:colOff>61853</xdr:colOff>
      <xdr:row>28</xdr:row>
      <xdr:rowOff>3239483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F27EF5B-4AF3-0D28-C066-80554FC0D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478" y="11699576"/>
          <a:ext cx="6603550" cy="1298539"/>
        </a:xfrm>
        <a:prstGeom prst="rect">
          <a:avLst/>
        </a:prstGeom>
      </xdr:spPr>
    </xdr:pic>
    <xdr:clientData/>
  </xdr:twoCellAnchor>
  <xdr:twoCellAnchor editAs="oneCell">
    <xdr:from>
      <xdr:col>1</xdr:col>
      <xdr:colOff>98844</xdr:colOff>
      <xdr:row>29</xdr:row>
      <xdr:rowOff>152761</xdr:rowOff>
    </xdr:from>
    <xdr:to>
      <xdr:col>7</xdr:col>
      <xdr:colOff>88810</xdr:colOff>
      <xdr:row>35</xdr:row>
      <xdr:rowOff>372998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E4425A9-09B8-B7D3-9044-3650596C0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435" y="13460804"/>
          <a:ext cx="6603550" cy="1298539"/>
        </a:xfrm>
        <a:prstGeom prst="rect">
          <a:avLst/>
        </a:prstGeom>
      </xdr:spPr>
    </xdr:pic>
    <xdr:clientData/>
  </xdr:twoCellAnchor>
  <xdr:twoCellAnchor editAs="oneCell">
    <xdr:from>
      <xdr:col>1</xdr:col>
      <xdr:colOff>98843</xdr:colOff>
      <xdr:row>35</xdr:row>
      <xdr:rowOff>736842</xdr:rowOff>
    </xdr:from>
    <xdr:to>
      <xdr:col>7</xdr:col>
      <xdr:colOff>88809</xdr:colOff>
      <xdr:row>35</xdr:row>
      <xdr:rowOff>2035381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4CD5A2D-ED7C-CC5E-A3AF-BA6DF7995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434" y="15123187"/>
          <a:ext cx="6603550" cy="1298539"/>
        </a:xfrm>
        <a:prstGeom prst="rect">
          <a:avLst/>
        </a:prstGeom>
      </xdr:spPr>
    </xdr:pic>
    <xdr:clientData/>
  </xdr:twoCellAnchor>
  <xdr:twoCellAnchor editAs="oneCell">
    <xdr:from>
      <xdr:col>1</xdr:col>
      <xdr:colOff>116816</xdr:colOff>
      <xdr:row>35</xdr:row>
      <xdr:rowOff>2399222</xdr:rowOff>
    </xdr:from>
    <xdr:to>
      <xdr:col>7</xdr:col>
      <xdr:colOff>106782</xdr:colOff>
      <xdr:row>35</xdr:row>
      <xdr:rowOff>3697761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96572DF-7450-AFFD-D8BD-5DDDB4C4F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407" y="16785567"/>
          <a:ext cx="6603550" cy="1298539"/>
        </a:xfrm>
        <a:prstGeom prst="rect">
          <a:avLst/>
        </a:prstGeom>
      </xdr:spPr>
    </xdr:pic>
    <xdr:clientData/>
  </xdr:twoCellAnchor>
  <xdr:twoCellAnchor editAs="oneCell">
    <xdr:from>
      <xdr:col>1</xdr:col>
      <xdr:colOff>125803</xdr:colOff>
      <xdr:row>37</xdr:row>
      <xdr:rowOff>71887</xdr:rowOff>
    </xdr:from>
    <xdr:to>
      <xdr:col>7</xdr:col>
      <xdr:colOff>115769</xdr:colOff>
      <xdr:row>44</xdr:row>
      <xdr:rowOff>501969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030FEE9-60CC-D8D3-A2DB-CBBFA982E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394" y="18447949"/>
          <a:ext cx="6603550" cy="1688101"/>
        </a:xfrm>
        <a:prstGeom prst="rect">
          <a:avLst/>
        </a:prstGeom>
      </xdr:spPr>
    </xdr:pic>
    <xdr:clientData/>
  </xdr:twoCellAnchor>
  <xdr:twoCellAnchor editAs="oneCell">
    <xdr:from>
      <xdr:col>1</xdr:col>
      <xdr:colOff>1509621</xdr:colOff>
      <xdr:row>0</xdr:row>
      <xdr:rowOff>1</xdr:rowOff>
    </xdr:from>
    <xdr:to>
      <xdr:col>9</xdr:col>
      <xdr:colOff>107829</xdr:colOff>
      <xdr:row>12</xdr:row>
      <xdr:rowOff>44930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3F895C-3466-35B1-6C52-8467D3778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70212" y="1"/>
          <a:ext cx="7008962" cy="18151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7</xdr:col>
      <xdr:colOff>488950</xdr:colOff>
      <xdr:row>28</xdr:row>
      <xdr:rowOff>42252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03758A-C9F5-5BD9-95AA-BAAB3410B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5667375"/>
          <a:ext cx="6604000" cy="3214077"/>
        </a:xfrm>
        <a:prstGeom prst="rect">
          <a:avLst/>
        </a:prstGeom>
      </xdr:spPr>
    </xdr:pic>
    <xdr:clientData/>
  </xdr:twoCellAnchor>
  <xdr:twoCellAnchor editAs="oneCell">
    <xdr:from>
      <xdr:col>0</xdr:col>
      <xdr:colOff>168672</xdr:colOff>
      <xdr:row>29</xdr:row>
      <xdr:rowOff>133946</xdr:rowOff>
    </xdr:from>
    <xdr:to>
      <xdr:col>7</xdr:col>
      <xdr:colOff>399653</xdr:colOff>
      <xdr:row>32</xdr:row>
      <xdr:rowOff>2401934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52F2B2E-D17E-39D3-35D2-C32A4F580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72" y="8319493"/>
          <a:ext cx="6585944" cy="2803769"/>
        </a:xfrm>
        <a:prstGeom prst="rect">
          <a:avLst/>
        </a:prstGeom>
      </xdr:spPr>
    </xdr:pic>
    <xdr:clientData/>
  </xdr:twoCellAnchor>
  <xdr:twoCellAnchor editAs="oneCell">
    <xdr:from>
      <xdr:col>0</xdr:col>
      <xdr:colOff>178594</xdr:colOff>
      <xdr:row>32</xdr:row>
      <xdr:rowOff>2812851</xdr:rowOff>
    </xdr:from>
    <xdr:to>
      <xdr:col>7</xdr:col>
      <xdr:colOff>409575</xdr:colOff>
      <xdr:row>40</xdr:row>
      <xdr:rowOff>165695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6836A12-B39F-9903-19BA-5592A6470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94" y="11534179"/>
          <a:ext cx="6585944" cy="1773041"/>
        </a:xfrm>
        <a:prstGeom prst="rect">
          <a:avLst/>
        </a:prstGeom>
      </xdr:spPr>
    </xdr:pic>
    <xdr:clientData/>
  </xdr:twoCellAnchor>
  <xdr:twoCellAnchor editAs="oneCell">
    <xdr:from>
      <xdr:col>0</xdr:col>
      <xdr:colOff>163712</xdr:colOff>
      <xdr:row>43</xdr:row>
      <xdr:rowOff>29765</xdr:rowOff>
    </xdr:from>
    <xdr:to>
      <xdr:col>7</xdr:col>
      <xdr:colOff>394693</xdr:colOff>
      <xdr:row>44</xdr:row>
      <xdr:rowOff>2860094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C163226-706C-995D-4B5D-A0018225F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712" y="13707071"/>
          <a:ext cx="6585944" cy="300892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10</xdr:col>
      <xdr:colOff>565546</xdr:colOff>
      <xdr:row>15</xdr:row>
      <xdr:rowOff>119063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769DC4-88BC-234A-CE6E-8B3C61192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26406" y="178594"/>
          <a:ext cx="7917657" cy="335359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112938</xdr:rowOff>
    </xdr:from>
    <xdr:to>
      <xdr:col>7</xdr:col>
      <xdr:colOff>87538</xdr:colOff>
      <xdr:row>32</xdr:row>
      <xdr:rowOff>1486072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ECC420-A2FE-66BB-ED12-7763A487F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13438"/>
          <a:ext cx="6591752" cy="4026528"/>
        </a:xfrm>
        <a:prstGeom prst="rect">
          <a:avLst/>
        </a:prstGeom>
      </xdr:spPr>
    </xdr:pic>
    <xdr:clientData/>
  </xdr:twoCellAnchor>
  <xdr:twoCellAnchor editAs="oneCell">
    <xdr:from>
      <xdr:col>0</xdr:col>
      <xdr:colOff>40823</xdr:colOff>
      <xdr:row>32</xdr:row>
      <xdr:rowOff>1728108</xdr:rowOff>
    </xdr:from>
    <xdr:to>
      <xdr:col>7</xdr:col>
      <xdr:colOff>128361</xdr:colOff>
      <xdr:row>38</xdr:row>
      <xdr:rowOff>42568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B6C4526-338C-71EA-06E2-19A5EB749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23" y="8382002"/>
          <a:ext cx="6591752" cy="3008923"/>
        </a:xfrm>
        <a:prstGeom prst="rect">
          <a:avLst/>
        </a:prstGeom>
      </xdr:spPr>
    </xdr:pic>
    <xdr:clientData/>
  </xdr:twoCellAnchor>
  <xdr:twoCellAnchor editAs="oneCell">
    <xdr:from>
      <xdr:col>0</xdr:col>
      <xdr:colOff>81644</xdr:colOff>
      <xdr:row>39</xdr:row>
      <xdr:rowOff>81642</xdr:rowOff>
    </xdr:from>
    <xdr:to>
      <xdr:col>7</xdr:col>
      <xdr:colOff>169182</xdr:colOff>
      <xdr:row>51</xdr:row>
      <xdr:rowOff>967850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97E8605-E65E-5773-21EF-3606CAB92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44" y="11606893"/>
          <a:ext cx="6591752" cy="3008923"/>
        </a:xfrm>
        <a:prstGeom prst="rect">
          <a:avLst/>
        </a:prstGeom>
      </xdr:spPr>
    </xdr:pic>
    <xdr:clientData/>
  </xdr:twoCellAnchor>
  <xdr:twoCellAnchor editAs="oneCell">
    <xdr:from>
      <xdr:col>0</xdr:col>
      <xdr:colOff>68036</xdr:colOff>
      <xdr:row>51</xdr:row>
      <xdr:rowOff>1061357</xdr:rowOff>
    </xdr:from>
    <xdr:to>
      <xdr:col>7</xdr:col>
      <xdr:colOff>155574</xdr:colOff>
      <xdr:row>56</xdr:row>
      <xdr:rowOff>56175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8A84CB4-2DDF-EF70-0034-07706F110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6" y="14709323"/>
          <a:ext cx="6591752" cy="3008923"/>
        </a:xfrm>
        <a:prstGeom prst="rect">
          <a:avLst/>
        </a:prstGeom>
      </xdr:spPr>
    </xdr:pic>
    <xdr:clientData/>
  </xdr:twoCellAnchor>
  <xdr:twoCellAnchor editAs="oneCell">
    <xdr:from>
      <xdr:col>2</xdr:col>
      <xdr:colOff>-1</xdr:colOff>
      <xdr:row>1</xdr:row>
      <xdr:rowOff>-1</xdr:rowOff>
    </xdr:from>
    <xdr:to>
      <xdr:col>16</xdr:col>
      <xdr:colOff>353784</xdr:colOff>
      <xdr:row>10</xdr:row>
      <xdr:rowOff>136069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1AF5329-1798-B9FB-54FA-3B978A5F4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77785" y="176893"/>
          <a:ext cx="11593285" cy="2666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65DC-3F43-41A2-A64E-88E9077B51DD}">
  <dimension ref="B2:G53"/>
  <sheetViews>
    <sheetView tabSelected="1" zoomScale="50" workbookViewId="0">
      <selection activeCell="I27" sqref="I27"/>
    </sheetView>
  </sheetViews>
  <sheetFormatPr defaultRowHeight="14.25" x14ac:dyDescent="0.45"/>
  <cols>
    <col min="1" max="1" width="3.59765625" style="1" customWidth="1"/>
    <col min="2" max="2" width="16.59765625" style="1" customWidth="1"/>
    <col min="3" max="8" width="14.59765625" style="1" customWidth="1"/>
    <col min="9" max="10" width="12.59765625" style="1" customWidth="1"/>
    <col min="11" max="16384" width="9.06640625" style="1"/>
  </cols>
  <sheetData>
    <row r="2" spans="2:7" ht="88.05" customHeight="1" x14ac:dyDescent="0.55000000000000004">
      <c r="B2" s="3"/>
      <c r="C2" s="17"/>
      <c r="D2" s="17"/>
      <c r="E2" s="17"/>
      <c r="F2" s="17"/>
      <c r="G2" s="17"/>
    </row>
    <row r="4" spans="2:7" x14ac:dyDescent="0.45">
      <c r="B4" s="2" t="s">
        <v>0</v>
      </c>
      <c r="G4" s="2" t="s">
        <v>1</v>
      </c>
    </row>
    <row r="5" spans="2:7" x14ac:dyDescent="0.45">
      <c r="C5" s="4">
        <v>0.3</v>
      </c>
      <c r="D5" s="4">
        <v>0.52</v>
      </c>
      <c r="E5" s="4">
        <v>1</v>
      </c>
      <c r="G5" s="4">
        <v>-0.01</v>
      </c>
    </row>
    <row r="6" spans="2:7" x14ac:dyDescent="0.45">
      <c r="C6" s="4">
        <v>0.5</v>
      </c>
      <c r="D6" s="4">
        <v>1</v>
      </c>
      <c r="E6" s="4">
        <v>1.9</v>
      </c>
      <c r="G6" s="4">
        <v>0.67</v>
      </c>
    </row>
    <row r="7" spans="2:7" x14ac:dyDescent="0.45">
      <c r="C7" s="4">
        <v>0.1</v>
      </c>
      <c r="D7" s="4">
        <v>0.3</v>
      </c>
      <c r="E7" s="4">
        <v>0.5</v>
      </c>
      <c r="G7" s="4">
        <v>-0.44</v>
      </c>
    </row>
    <row r="9" spans="2:7" x14ac:dyDescent="0.45">
      <c r="B9" s="1" t="s">
        <v>14</v>
      </c>
      <c r="C9" s="5">
        <f>MDETERM(C5:E7)</f>
        <v>-2.1999999999999958E-3</v>
      </c>
    </row>
    <row r="11" spans="2:7" x14ac:dyDescent="0.45">
      <c r="B11" s="2" t="s">
        <v>15</v>
      </c>
    </row>
    <row r="12" spans="2:7" x14ac:dyDescent="0.45">
      <c r="C12" s="4">
        <f>G5</f>
        <v>-0.01</v>
      </c>
      <c r="D12" s="4">
        <f t="shared" ref="D12:E14" si="0">D5</f>
        <v>0.52</v>
      </c>
      <c r="E12" s="4">
        <f t="shared" si="0"/>
        <v>1</v>
      </c>
    </row>
    <row r="13" spans="2:7" x14ac:dyDescent="0.45">
      <c r="C13" s="4">
        <f>G6</f>
        <v>0.67</v>
      </c>
      <c r="D13" s="4">
        <f t="shared" si="0"/>
        <v>1</v>
      </c>
      <c r="E13" s="4">
        <f t="shared" si="0"/>
        <v>1.9</v>
      </c>
    </row>
    <row r="14" spans="2:7" x14ac:dyDescent="0.45">
      <c r="C14" s="4">
        <f>G7</f>
        <v>-0.44</v>
      </c>
      <c r="D14" s="4">
        <f t="shared" si="0"/>
        <v>0.3</v>
      </c>
      <c r="E14" s="4">
        <f t="shared" si="0"/>
        <v>0.5</v>
      </c>
    </row>
    <row r="15" spans="2:7" x14ac:dyDescent="0.45">
      <c r="B15" s="1" t="s">
        <v>16</v>
      </c>
      <c r="C15" s="5">
        <f>MDETERM(C12:E14)</f>
        <v>3.2779999999999816E-2</v>
      </c>
    </row>
    <row r="17" spans="2:5" x14ac:dyDescent="0.45">
      <c r="B17" s="2" t="s">
        <v>17</v>
      </c>
    </row>
    <row r="18" spans="2:5" x14ac:dyDescent="0.45">
      <c r="C18" s="4">
        <f>C5</f>
        <v>0.3</v>
      </c>
      <c r="D18" s="4">
        <f>G5</f>
        <v>-0.01</v>
      </c>
      <c r="E18" s="4">
        <f>E5</f>
        <v>1</v>
      </c>
    </row>
    <row r="19" spans="2:5" x14ac:dyDescent="0.45">
      <c r="C19" s="4">
        <f>C6</f>
        <v>0.5</v>
      </c>
      <c r="D19" s="4">
        <f>G6</f>
        <v>0.67</v>
      </c>
      <c r="E19" s="4">
        <f>E6</f>
        <v>1.9</v>
      </c>
    </row>
    <row r="20" spans="2:5" x14ac:dyDescent="0.45">
      <c r="C20" s="4">
        <f>C7</f>
        <v>0.1</v>
      </c>
      <c r="D20" s="4">
        <f>G7</f>
        <v>-0.44</v>
      </c>
      <c r="E20" s="4">
        <f>E7</f>
        <v>0.5</v>
      </c>
    </row>
    <row r="21" spans="2:5" x14ac:dyDescent="0.45">
      <c r="B21" s="1" t="s">
        <v>18</v>
      </c>
      <c r="C21" s="5">
        <f>MDETERM(C18:E20)</f>
        <v>6.4899999999999985E-2</v>
      </c>
    </row>
    <row r="23" spans="2:5" x14ac:dyDescent="0.45">
      <c r="B23" s="2" t="s">
        <v>19</v>
      </c>
    </row>
    <row r="24" spans="2:5" x14ac:dyDescent="0.45">
      <c r="C24" s="4">
        <f t="shared" ref="C24:D26" si="1">C5</f>
        <v>0.3</v>
      </c>
      <c r="D24" s="4">
        <f t="shared" si="1"/>
        <v>0.52</v>
      </c>
      <c r="E24" s="4">
        <f>G5</f>
        <v>-0.01</v>
      </c>
    </row>
    <row r="25" spans="2:5" x14ac:dyDescent="0.45">
      <c r="C25" s="4">
        <f t="shared" si="1"/>
        <v>0.5</v>
      </c>
      <c r="D25" s="4">
        <f t="shared" si="1"/>
        <v>1</v>
      </c>
      <c r="E25" s="4">
        <f>G6</f>
        <v>0.67</v>
      </c>
    </row>
    <row r="26" spans="2:5" x14ac:dyDescent="0.45">
      <c r="C26" s="4">
        <f t="shared" si="1"/>
        <v>0.1</v>
      </c>
      <c r="D26" s="4">
        <f t="shared" si="1"/>
        <v>0.3</v>
      </c>
      <c r="E26" s="4">
        <f>G7</f>
        <v>-0.44</v>
      </c>
    </row>
    <row r="27" spans="2:5" x14ac:dyDescent="0.45">
      <c r="B27" s="1" t="s">
        <v>20</v>
      </c>
      <c r="C27" s="5">
        <f>MDETERM(C24:E26)</f>
        <v>-4.3559999999999988E-2</v>
      </c>
    </row>
    <row r="29" spans="2:5" x14ac:dyDescent="0.45">
      <c r="B29" s="2" t="s">
        <v>21</v>
      </c>
    </row>
    <row r="30" spans="2:5" x14ac:dyDescent="0.45">
      <c r="C30" s="9" t="s">
        <v>22</v>
      </c>
      <c r="D30" s="9" t="s">
        <v>23</v>
      </c>
      <c r="E30" s="9" t="s">
        <v>24</v>
      </c>
    </row>
    <row r="31" spans="2:5" x14ac:dyDescent="0.45">
      <c r="C31" s="6">
        <f>C15/C9</f>
        <v>-14.899999999999945</v>
      </c>
      <c r="D31" s="6">
        <f>C21/C9</f>
        <v>-29.50000000000005</v>
      </c>
      <c r="E31" s="6">
        <f>C27/C9</f>
        <v>19.800000000000033</v>
      </c>
    </row>
    <row r="33" spans="2:3" ht="18" x14ac:dyDescent="0.55000000000000004">
      <c r="B33" s="2" t="s">
        <v>9</v>
      </c>
      <c r="C33" s="8" t="s">
        <v>10</v>
      </c>
    </row>
    <row r="35" spans="2:3" ht="23.25" x14ac:dyDescent="0.7">
      <c r="B35" s="16" t="s">
        <v>25</v>
      </c>
    </row>
    <row r="37" spans="2:3" ht="240" customHeight="1" x14ac:dyDescent="0.45"/>
    <row r="53" ht="380" customHeight="1" x14ac:dyDescent="0.45"/>
  </sheetData>
  <mergeCells count="1">
    <mergeCell ref="C2:G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9221-DE81-43DA-817D-8A6CDD09D9A6}">
  <dimension ref="B2:H47"/>
  <sheetViews>
    <sheetView zoomScale="50" workbookViewId="0">
      <selection activeCell="K19" sqref="K19"/>
    </sheetView>
  </sheetViews>
  <sheetFormatPr defaultRowHeight="14.25" x14ac:dyDescent="0.45"/>
  <cols>
    <col min="1" max="1" width="3.59765625" style="1" customWidth="1"/>
    <col min="2" max="2" width="18.59765625" style="1" customWidth="1"/>
    <col min="3" max="6" width="14.59765625" style="1" customWidth="1"/>
    <col min="7" max="7" width="8.59765625" style="1" customWidth="1"/>
    <col min="8" max="10" width="12.59765625" style="1" customWidth="1"/>
    <col min="11" max="16384" width="9.06640625" style="1"/>
  </cols>
  <sheetData>
    <row r="2" spans="2:8" ht="108" customHeight="1" x14ac:dyDescent="0.55000000000000004">
      <c r="B2" s="13" t="s">
        <v>26</v>
      </c>
      <c r="C2" s="17"/>
      <c r="D2" s="17"/>
      <c r="E2" s="17"/>
      <c r="F2" s="17"/>
      <c r="G2" s="17"/>
      <c r="H2" s="17"/>
    </row>
    <row r="4" spans="2:8" x14ac:dyDescent="0.45">
      <c r="B4" s="2" t="s">
        <v>0</v>
      </c>
      <c r="H4" s="2" t="s">
        <v>1</v>
      </c>
    </row>
    <row r="5" spans="2:8" x14ac:dyDescent="0.45">
      <c r="C5" s="10">
        <v>1</v>
      </c>
      <c r="D5" s="10">
        <v>-1</v>
      </c>
      <c r="E5" s="10">
        <v>2</v>
      </c>
      <c r="F5" s="10">
        <v>-1</v>
      </c>
      <c r="H5" s="10">
        <v>-8</v>
      </c>
    </row>
    <row r="6" spans="2:8" x14ac:dyDescent="0.45">
      <c r="C6" s="10">
        <v>0</v>
      </c>
      <c r="D6" s="10">
        <v>2</v>
      </c>
      <c r="E6" s="10">
        <v>-1</v>
      </c>
      <c r="F6" s="10">
        <v>1</v>
      </c>
      <c r="H6" s="10">
        <v>6</v>
      </c>
    </row>
    <row r="7" spans="2:8" x14ac:dyDescent="0.45">
      <c r="C7" s="10">
        <v>0</v>
      </c>
      <c r="D7" s="10">
        <v>0</v>
      </c>
      <c r="E7" s="10">
        <v>-1</v>
      </c>
      <c r="F7" s="10">
        <v>-1</v>
      </c>
      <c r="H7" s="10">
        <v>-4</v>
      </c>
    </row>
    <row r="8" spans="2:8" x14ac:dyDescent="0.45">
      <c r="C8" s="10">
        <v>0</v>
      </c>
      <c r="D8" s="10">
        <v>0</v>
      </c>
      <c r="E8" s="10">
        <v>0</v>
      </c>
      <c r="F8" s="10">
        <v>2</v>
      </c>
      <c r="H8" s="10">
        <v>4</v>
      </c>
    </row>
    <row r="10" spans="2:8" x14ac:dyDescent="0.45">
      <c r="B10" s="1" t="s">
        <v>2</v>
      </c>
      <c r="C10" s="5">
        <f>MDETERM(C5:F8)</f>
        <v>-4</v>
      </c>
    </row>
    <row r="12" spans="2:8" x14ac:dyDescent="0.45">
      <c r="B12" s="2" t="s">
        <v>27</v>
      </c>
    </row>
    <row r="13" spans="2:8" x14ac:dyDescent="0.45">
      <c r="B13" s="7" t="s">
        <v>28</v>
      </c>
      <c r="C13" s="6">
        <f>H8/F8</f>
        <v>2</v>
      </c>
    </row>
    <row r="14" spans="2:8" x14ac:dyDescent="0.45">
      <c r="B14" s="7" t="s">
        <v>7</v>
      </c>
      <c r="C14" s="6">
        <f>(H7-F7*C13)/E7</f>
        <v>2</v>
      </c>
    </row>
    <row r="15" spans="2:8" x14ac:dyDescent="0.45">
      <c r="B15" s="7" t="s">
        <v>6</v>
      </c>
      <c r="C15" s="6">
        <f>(H6-E6*C14-F6*C13)/D6</f>
        <v>3</v>
      </c>
    </row>
    <row r="16" spans="2:8" x14ac:dyDescent="0.45">
      <c r="B16" s="7" t="s">
        <v>5</v>
      </c>
      <c r="C16" s="6">
        <f>(H5-D5*C15-E5*C14-F5*C13)/C5</f>
        <v>-7</v>
      </c>
    </row>
    <row r="18" spans="2:5" x14ac:dyDescent="0.45">
      <c r="B18" s="2" t="s">
        <v>8</v>
      </c>
      <c r="E18" s="2" t="s">
        <v>29</v>
      </c>
    </row>
    <row r="19" spans="2:5" x14ac:dyDescent="0.45">
      <c r="B19" s="7" t="s">
        <v>5</v>
      </c>
      <c r="C19" s="6">
        <f>C16</f>
        <v>-7</v>
      </c>
      <c r="E19" s="10">
        <f>INDEX(MMULT($C$5:$F$8,$C$19:$C$22),1,1)</f>
        <v>-8</v>
      </c>
    </row>
    <row r="20" spans="2:5" x14ac:dyDescent="0.45">
      <c r="B20" s="7" t="s">
        <v>6</v>
      </c>
      <c r="C20" s="6">
        <f>C15</f>
        <v>3</v>
      </c>
      <c r="E20" s="10">
        <f>INDEX(MMULT($C$5:$F$8,$C$19:$C$22),2,1)</f>
        <v>6</v>
      </c>
    </row>
    <row r="21" spans="2:5" x14ac:dyDescent="0.45">
      <c r="B21" s="7" t="s">
        <v>7</v>
      </c>
      <c r="C21" s="6">
        <f>C14</f>
        <v>2</v>
      </c>
      <c r="E21" s="10">
        <f>INDEX(MMULT($C$5:$F$8,$C$19:$C$22),3,1)</f>
        <v>-4</v>
      </c>
    </row>
    <row r="22" spans="2:5" x14ac:dyDescent="0.45">
      <c r="B22" s="7" t="s">
        <v>28</v>
      </c>
      <c r="C22" s="6">
        <f>C13</f>
        <v>2</v>
      </c>
      <c r="E22" s="10">
        <f>INDEX(MMULT($C$5:$F$8,$C$19:$C$22),4,1)</f>
        <v>4</v>
      </c>
    </row>
    <row r="24" spans="2:5" ht="18" x14ac:dyDescent="0.55000000000000004">
      <c r="B24" s="2"/>
      <c r="C24" s="8" t="s">
        <v>30</v>
      </c>
    </row>
    <row r="26" spans="2:5" ht="23.25" x14ac:dyDescent="0.7">
      <c r="B26" s="16" t="s">
        <v>41</v>
      </c>
    </row>
    <row r="27" spans="2:5" x14ac:dyDescent="0.45">
      <c r="B27" s="1" t="s">
        <v>12</v>
      </c>
    </row>
    <row r="28" spans="2:5" ht="280.05" customHeight="1" x14ac:dyDescent="0.45"/>
    <row r="30" spans="2:5" x14ac:dyDescent="0.45">
      <c r="B30" s="1" t="s">
        <v>31</v>
      </c>
    </row>
    <row r="47" ht="300" customHeight="1" x14ac:dyDescent="0.45"/>
  </sheetData>
  <mergeCells count="1">
    <mergeCell ref="C2:H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E732-FD52-4C3C-9B8E-F5A6D4C17C09}">
  <dimension ref="B2:G45"/>
  <sheetViews>
    <sheetView zoomScale="43" workbookViewId="0">
      <selection activeCell="H29" sqref="H29"/>
    </sheetView>
  </sheetViews>
  <sheetFormatPr defaultRowHeight="14.25" x14ac:dyDescent="0.45"/>
  <cols>
    <col min="1" max="1" width="3.59765625" style="1" customWidth="1"/>
    <col min="2" max="2" width="16.59765625" style="1" customWidth="1"/>
    <col min="3" max="8" width="14.59765625" style="1" customWidth="1"/>
    <col min="9" max="10" width="12.59765625" style="1" customWidth="1"/>
    <col min="11" max="16384" width="9.06640625" style="1"/>
  </cols>
  <sheetData>
    <row r="2" spans="2:7" ht="21.4" customHeight="1" x14ac:dyDescent="0.55000000000000004">
      <c r="B2" s="12"/>
      <c r="C2" s="11"/>
      <c r="D2" s="11"/>
      <c r="E2" s="11"/>
      <c r="F2" s="11"/>
      <c r="G2" s="11"/>
    </row>
    <row r="4" spans="2:7" x14ac:dyDescent="0.45">
      <c r="B4" s="2" t="s">
        <v>0</v>
      </c>
      <c r="G4" s="2" t="s">
        <v>1</v>
      </c>
    </row>
    <row r="5" spans="2:7" x14ac:dyDescent="0.45">
      <c r="C5" s="4">
        <v>0.3</v>
      </c>
      <c r="D5" s="4">
        <v>0.52</v>
      </c>
      <c r="E5" s="4">
        <v>1</v>
      </c>
      <c r="G5" s="4">
        <v>-0.01</v>
      </c>
    </row>
    <row r="6" spans="2:7" x14ac:dyDescent="0.45">
      <c r="C6" s="4">
        <v>0.5</v>
      </c>
      <c r="D6" s="4">
        <v>1</v>
      </c>
      <c r="E6" s="4">
        <v>1.9</v>
      </c>
      <c r="G6" s="4">
        <v>0.67</v>
      </c>
    </row>
    <row r="7" spans="2:7" x14ac:dyDescent="0.45">
      <c r="C7" s="4">
        <v>0.1</v>
      </c>
      <c r="D7" s="4">
        <v>0.3</v>
      </c>
      <c r="E7" s="4">
        <v>0.5</v>
      </c>
      <c r="G7" s="4">
        <v>-0.44</v>
      </c>
    </row>
    <row r="8" spans="2:7" x14ac:dyDescent="0.45">
      <c r="B8" s="1" t="s">
        <v>2</v>
      </c>
      <c r="C8" s="5">
        <f>MDETERM(C5:E7)</f>
        <v>-2.1999999999999958E-3</v>
      </c>
    </row>
    <row r="10" spans="2:7" x14ac:dyDescent="0.45">
      <c r="B10" s="2" t="s">
        <v>3</v>
      </c>
    </row>
    <row r="11" spans="2:7" x14ac:dyDescent="0.45">
      <c r="C11" s="6">
        <f>INDEX(MINVERSE($C$5:$E$7),1,1)</f>
        <v>31.818181818181849</v>
      </c>
      <c r="D11" s="6">
        <f>INDEX(MINVERSE($C$5:$E$7),1,2)</f>
        <v>-18.181818181818201</v>
      </c>
      <c r="E11" s="6">
        <f>INDEX(MINVERSE($C$5:$E$7),1,3)</f>
        <v>5.4545454545454817</v>
      </c>
    </row>
    <row r="12" spans="2:7" x14ac:dyDescent="0.45">
      <c r="C12" s="6">
        <f>INDEX(MINVERSE($C$5:$E$7),2,1)</f>
        <v>27.272727272727327</v>
      </c>
      <c r="D12" s="6">
        <f>INDEX(MINVERSE($C$5:$E$7),2,2)</f>
        <v>-22.727272727272769</v>
      </c>
      <c r="E12" s="6">
        <f>INDEX(MINVERSE($C$5:$E$7),2,3)</f>
        <v>31.818181818181856</v>
      </c>
    </row>
    <row r="13" spans="2:7" x14ac:dyDescent="0.45">
      <c r="C13" s="6">
        <f>INDEX(MINVERSE($C$5:$E$7),3,1)</f>
        <v>-22.727272727272766</v>
      </c>
      <c r="D13" s="6">
        <f>INDEX(MINVERSE($C$5:$E$7),3,2)</f>
        <v>17.272727272727302</v>
      </c>
      <c r="E13" s="6">
        <f>INDEX(MINVERSE($C$5:$E$7),3,3)</f>
        <v>-18.181818181818208</v>
      </c>
    </row>
    <row r="15" spans="2:7" x14ac:dyDescent="0.45">
      <c r="B15" s="2" t="s">
        <v>4</v>
      </c>
    </row>
    <row r="16" spans="2:7" x14ac:dyDescent="0.45">
      <c r="B16" s="7" t="s">
        <v>5</v>
      </c>
      <c r="C16" s="6">
        <f>INDEX(MMULT($C$11:$E$13,$G$5:$G$7),1,1)</f>
        <v>-14.900000000000027</v>
      </c>
    </row>
    <row r="17" spans="2:3" x14ac:dyDescent="0.45">
      <c r="B17" s="7" t="s">
        <v>6</v>
      </c>
      <c r="C17" s="6">
        <f>INDEX(MMULT($C$11:$E$13,$G$5:$G$7),2,1)</f>
        <v>-29.500000000000046</v>
      </c>
    </row>
    <row r="18" spans="2:3" x14ac:dyDescent="0.45">
      <c r="B18" s="7" t="s">
        <v>7</v>
      </c>
      <c r="C18" s="6">
        <f>INDEX(MMULT($C$11:$E$13,$G$5:$G$7),3,1)</f>
        <v>19.800000000000033</v>
      </c>
    </row>
    <row r="20" spans="2:3" x14ac:dyDescent="0.45">
      <c r="B20" s="2" t="s">
        <v>8</v>
      </c>
    </row>
    <row r="21" spans="2:3" x14ac:dyDescent="0.45">
      <c r="C21" s="4">
        <f>INDEX(MMULT($C$5:$E$7,$C$16:$C$18),1,1)</f>
        <v>-9.9999999999980105E-3</v>
      </c>
    </row>
    <row r="22" spans="2:3" x14ac:dyDescent="0.45">
      <c r="C22" s="4">
        <f>INDEX(MMULT($C$5:$E$7,$C$16:$C$18),2,1)</f>
        <v>0.67000000000000171</v>
      </c>
    </row>
    <row r="23" spans="2:3" x14ac:dyDescent="0.45">
      <c r="C23" s="4">
        <f>INDEX(MMULT($C$5:$E$7,$C$16:$C$18),3,1)</f>
        <v>-0.44000000000000128</v>
      </c>
    </row>
    <row r="25" spans="2:3" ht="18" x14ac:dyDescent="0.55000000000000004">
      <c r="B25" s="2" t="s">
        <v>9</v>
      </c>
      <c r="C25" s="8" t="s">
        <v>10</v>
      </c>
    </row>
    <row r="27" spans="2:3" x14ac:dyDescent="0.45">
      <c r="B27" s="2" t="s">
        <v>40</v>
      </c>
    </row>
    <row r="28" spans="2:3" x14ac:dyDescent="0.45">
      <c r="B28" s="1" t="s">
        <v>12</v>
      </c>
    </row>
    <row r="29" spans="2:3" ht="250.05" customHeight="1" x14ac:dyDescent="0.45"/>
    <row r="34" spans="2:2" x14ac:dyDescent="0.45">
      <c r="B34" s="1" t="s">
        <v>13</v>
      </c>
    </row>
    <row r="45" spans="2:2" ht="280.05" customHeight="1" x14ac:dyDescent="0.45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AA17-6709-4172-897C-DDAA7F4B902E}">
  <dimension ref="B2:H95"/>
  <sheetViews>
    <sheetView topLeftCell="A29" zoomScale="53" workbookViewId="0">
      <selection activeCell="J27" sqref="J27"/>
    </sheetView>
  </sheetViews>
  <sheetFormatPr defaultRowHeight="14.25" x14ac:dyDescent="0.45"/>
  <cols>
    <col min="1" max="1" width="3.59765625" style="1" customWidth="1"/>
    <col min="2" max="2" width="24.59765625" style="1" customWidth="1"/>
    <col min="3" max="7" width="13.59765625" style="1" customWidth="1"/>
    <col min="8" max="10" width="12.59765625" style="1" customWidth="1"/>
    <col min="11" max="16384" width="9.06640625" style="1"/>
  </cols>
  <sheetData>
    <row r="2" spans="2:8" ht="117.75" customHeight="1" x14ac:dyDescent="0.55000000000000004">
      <c r="B2" s="13" t="s">
        <v>32</v>
      </c>
      <c r="C2" s="17"/>
      <c r="D2" s="17"/>
      <c r="E2" s="17"/>
      <c r="F2" s="17"/>
      <c r="G2" s="17"/>
      <c r="H2" s="17"/>
    </row>
    <row r="3" spans="2:8" ht="7.5" customHeight="1" x14ac:dyDescent="0.45"/>
    <row r="4" spans="2:8" ht="5.65" hidden="1" customHeight="1" x14ac:dyDescent="0.45">
      <c r="B4" s="15"/>
      <c r="C4" s="14"/>
      <c r="D4" s="14"/>
      <c r="E4" s="14"/>
      <c r="F4" s="14"/>
    </row>
    <row r="5" spans="2:8" hidden="1" x14ac:dyDescent="0.45">
      <c r="B5" s="15"/>
      <c r="C5" s="14"/>
      <c r="D5" s="14"/>
      <c r="E5" s="14"/>
      <c r="F5" s="14"/>
    </row>
    <row r="6" spans="2:8" ht="11.65" hidden="1" customHeight="1" x14ac:dyDescent="0.45">
      <c r="B6" s="15"/>
      <c r="C6" s="14"/>
      <c r="D6" s="14"/>
      <c r="E6" s="14"/>
      <c r="F6" s="14"/>
    </row>
    <row r="7" spans="2:8" hidden="1" x14ac:dyDescent="0.45"/>
    <row r="8" spans="2:8" hidden="1" x14ac:dyDescent="0.45">
      <c r="B8" s="2"/>
      <c r="C8" s="14"/>
      <c r="D8" s="14"/>
      <c r="E8" s="14"/>
      <c r="F8" s="14"/>
    </row>
    <row r="9" spans="2:8" hidden="1" x14ac:dyDescent="0.45"/>
    <row r="10" spans="2:8" hidden="1" x14ac:dyDescent="0.45">
      <c r="B10" s="2"/>
      <c r="C10" s="14"/>
      <c r="D10" s="14"/>
      <c r="E10" s="14"/>
      <c r="F10" s="14"/>
    </row>
    <row r="11" spans="2:8" hidden="1" x14ac:dyDescent="0.45"/>
    <row r="12" spans="2:8" hidden="1" x14ac:dyDescent="0.45">
      <c r="B12" s="2"/>
      <c r="C12" s="14"/>
      <c r="D12" s="14"/>
      <c r="E12" s="14"/>
      <c r="F12" s="14"/>
    </row>
    <row r="14" spans="2:8" ht="1.9" customHeight="1" x14ac:dyDescent="0.45">
      <c r="B14" s="2"/>
      <c r="C14" s="14"/>
      <c r="D14" s="14"/>
      <c r="E14" s="14"/>
      <c r="F14" s="14"/>
    </row>
    <row r="15" spans="2:8" hidden="1" x14ac:dyDescent="0.45"/>
    <row r="16" spans="2:8" hidden="1" x14ac:dyDescent="0.45">
      <c r="B16" s="2"/>
      <c r="C16" s="14"/>
      <c r="D16" s="14"/>
      <c r="E16" s="14"/>
      <c r="F16" s="14"/>
    </row>
    <row r="17" spans="2:6" hidden="1" x14ac:dyDescent="0.45"/>
    <row r="18" spans="2:6" hidden="1" x14ac:dyDescent="0.45">
      <c r="B18" s="2"/>
      <c r="E18" s="2"/>
    </row>
    <row r="19" spans="2:6" ht="3" customHeight="1" x14ac:dyDescent="0.45">
      <c r="B19" s="15"/>
      <c r="C19" s="14"/>
      <c r="E19" s="15"/>
      <c r="F19" s="14"/>
    </row>
    <row r="20" spans="2:6" hidden="1" x14ac:dyDescent="0.45">
      <c r="B20" s="15"/>
      <c r="C20" s="14"/>
      <c r="E20" s="15"/>
      <c r="F20" s="14"/>
    </row>
    <row r="21" spans="2:6" x14ac:dyDescent="0.45">
      <c r="B21" s="15"/>
      <c r="C21" s="14"/>
      <c r="E21" s="15"/>
      <c r="F21" s="14"/>
    </row>
    <row r="23" spans="2:6" ht="18" x14ac:dyDescent="0.55000000000000004">
      <c r="B23" s="2" t="s">
        <v>9</v>
      </c>
      <c r="C23" s="8" t="s">
        <v>33</v>
      </c>
    </row>
    <row r="25" spans="2:6" x14ac:dyDescent="0.45">
      <c r="B25" s="2" t="s">
        <v>40</v>
      </c>
    </row>
    <row r="26" spans="2:6" x14ac:dyDescent="0.45">
      <c r="B26" s="1" t="s">
        <v>34</v>
      </c>
    </row>
    <row r="27" spans="2:6" ht="280.05" customHeight="1" x14ac:dyDescent="0.45"/>
    <row r="29" spans="2:6" ht="280.05" customHeight="1" x14ac:dyDescent="0.45"/>
    <row r="36" ht="300" customHeight="1" x14ac:dyDescent="0.45"/>
    <row r="45" ht="160.05000000000001" customHeight="1" x14ac:dyDescent="0.45"/>
    <row r="47" ht="280.05" customHeight="1" x14ac:dyDescent="0.45"/>
    <row r="55" ht="160.05000000000001" customHeight="1" x14ac:dyDescent="0.45"/>
    <row r="63" ht="300" customHeight="1" x14ac:dyDescent="0.45"/>
    <row r="65" ht="160.05000000000001" customHeight="1" x14ac:dyDescent="0.45"/>
    <row r="74" ht="280.05" customHeight="1" x14ac:dyDescent="0.45"/>
    <row r="75" ht="160.05000000000001" customHeight="1" x14ac:dyDescent="0.45"/>
    <row r="82" ht="260" customHeight="1" x14ac:dyDescent="0.45"/>
    <row r="85" ht="160.05000000000001" customHeight="1" x14ac:dyDescent="0.45"/>
    <row r="95" ht="200" customHeight="1" x14ac:dyDescent="0.45"/>
  </sheetData>
  <mergeCells count="1">
    <mergeCell ref="C2:H2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9A83-EA3B-4115-B0F4-5E1DD640A065}">
  <dimension ref="B2:I192"/>
  <sheetViews>
    <sheetView zoomScale="32" workbookViewId="0">
      <selection activeCell="K33" sqref="K33"/>
    </sheetView>
  </sheetViews>
  <sheetFormatPr defaultRowHeight="14.25" x14ac:dyDescent="0.45"/>
  <cols>
    <col min="1" max="1" width="3.59765625" style="1" customWidth="1"/>
    <col min="2" max="2" width="20.59765625" style="1" customWidth="1"/>
    <col min="3" max="5" width="13.59765625" style="1" customWidth="1"/>
    <col min="6" max="6" width="10.59765625" style="1" customWidth="1"/>
    <col min="7" max="7" width="13.59765625" style="1" customWidth="1"/>
    <col min="8" max="10" width="12.59765625" style="1" customWidth="1"/>
    <col min="11" max="16384" width="9.06640625" style="1"/>
  </cols>
  <sheetData>
    <row r="2" spans="2:9" ht="72" customHeight="1" x14ac:dyDescent="0.55000000000000004">
      <c r="B2" s="3" t="s">
        <v>38</v>
      </c>
      <c r="C2" s="17"/>
      <c r="D2" s="17"/>
      <c r="E2" s="17"/>
      <c r="F2" s="17"/>
      <c r="G2" s="17"/>
    </row>
    <row r="4" spans="2:9" x14ac:dyDescent="0.45">
      <c r="B4" s="2"/>
      <c r="G4" s="2"/>
    </row>
    <row r="5" spans="2:9" x14ac:dyDescent="0.45">
      <c r="C5" s="14"/>
      <c r="D5" s="14"/>
      <c r="E5" s="14"/>
      <c r="G5" s="14"/>
    </row>
    <row r="6" spans="2:9" x14ac:dyDescent="0.45">
      <c r="C6" s="14"/>
      <c r="D6" s="14"/>
      <c r="E6" s="14"/>
      <c r="G6" s="14"/>
    </row>
    <row r="7" spans="2:9" x14ac:dyDescent="0.45">
      <c r="C7" s="14"/>
      <c r="D7" s="14"/>
      <c r="E7" s="14"/>
      <c r="G7" s="14"/>
    </row>
    <row r="9" spans="2:9" x14ac:dyDescent="0.45">
      <c r="B9" s="2"/>
      <c r="G9" s="2"/>
    </row>
    <row r="10" spans="2:9" x14ac:dyDescent="0.45">
      <c r="C10" s="14"/>
      <c r="D10" s="14"/>
      <c r="E10" s="14"/>
      <c r="G10" s="14"/>
      <c r="H10" s="14"/>
      <c r="I10" s="14"/>
    </row>
    <row r="11" spans="2:9" x14ac:dyDescent="0.45">
      <c r="C11" s="14"/>
      <c r="D11" s="14"/>
      <c r="E11" s="14"/>
      <c r="G11" s="14"/>
      <c r="H11" s="14"/>
      <c r="I11" s="14"/>
    </row>
    <row r="12" spans="2:9" x14ac:dyDescent="0.45">
      <c r="C12" s="14"/>
      <c r="D12" s="14"/>
      <c r="E12" s="14"/>
      <c r="G12" s="14"/>
      <c r="H12" s="14"/>
      <c r="I12" s="14"/>
    </row>
    <row r="14" spans="2:9" x14ac:dyDescent="0.45">
      <c r="B14" s="2"/>
    </row>
    <row r="15" spans="2:9" x14ac:dyDescent="0.45">
      <c r="B15" s="15"/>
      <c r="C15" s="14"/>
    </row>
    <row r="16" spans="2:9" x14ac:dyDescent="0.45">
      <c r="B16" s="15"/>
      <c r="C16" s="14"/>
    </row>
    <row r="17" spans="2:6" ht="4.9000000000000004" customHeight="1" x14ac:dyDescent="0.45">
      <c r="B17" s="15"/>
      <c r="C17" s="14"/>
    </row>
    <row r="18" spans="2:6" ht="4.9000000000000004" customHeight="1" x14ac:dyDescent="0.45"/>
    <row r="19" spans="2:6" hidden="1" x14ac:dyDescent="0.45">
      <c r="B19" s="2"/>
      <c r="E19" s="2"/>
    </row>
    <row r="20" spans="2:6" ht="1.1499999999999999" customHeight="1" x14ac:dyDescent="0.45">
      <c r="B20" s="15"/>
      <c r="C20" s="14"/>
      <c r="E20" s="15"/>
      <c r="F20" s="14"/>
    </row>
    <row r="21" spans="2:6" hidden="1" x14ac:dyDescent="0.45">
      <c r="B21" s="15"/>
      <c r="C21" s="14"/>
      <c r="E21" s="15"/>
      <c r="F21" s="14"/>
    </row>
    <row r="22" spans="2:6" x14ac:dyDescent="0.45">
      <c r="B22" s="15"/>
      <c r="C22" s="14"/>
      <c r="E22" s="15"/>
      <c r="F22" s="14"/>
    </row>
    <row r="24" spans="2:6" ht="18" x14ac:dyDescent="0.55000000000000004">
      <c r="B24" s="2" t="s">
        <v>9</v>
      </c>
      <c r="C24" s="8" t="s">
        <v>35</v>
      </c>
    </row>
    <row r="26" spans="2:6" x14ac:dyDescent="0.45">
      <c r="B26" s="2" t="s">
        <v>11</v>
      </c>
    </row>
    <row r="27" spans="2:6" x14ac:dyDescent="0.45">
      <c r="B27" s="1" t="s">
        <v>36</v>
      </c>
    </row>
    <row r="28" spans="2:6" ht="250.05" customHeight="1" x14ac:dyDescent="0.45"/>
    <row r="33" ht="250.05" customHeight="1" x14ac:dyDescent="0.45"/>
    <row r="45" ht="260" customHeight="1" x14ac:dyDescent="0.45"/>
    <row r="48" ht="240" customHeight="1" x14ac:dyDescent="0.45"/>
    <row r="62" ht="180" customHeight="1" x14ac:dyDescent="0.45"/>
    <row r="63" ht="240" customHeight="1" x14ac:dyDescent="0.45"/>
    <row r="74" ht="250.05" customHeight="1" x14ac:dyDescent="0.45"/>
    <row r="78" ht="320" customHeight="1" x14ac:dyDescent="0.45"/>
    <row r="96" ht="240" customHeight="1" x14ac:dyDescent="0.45"/>
    <row r="111" ht="88.05" customHeight="1" x14ac:dyDescent="0.45"/>
    <row r="142" ht="230" customHeight="1" x14ac:dyDescent="0.45"/>
    <row r="156" ht="320" customHeight="1" x14ac:dyDescent="0.45"/>
    <row r="174" ht="320" customHeight="1" x14ac:dyDescent="0.45"/>
    <row r="192" ht="240" customHeight="1" x14ac:dyDescent="0.45"/>
  </sheetData>
  <mergeCells count="1">
    <mergeCell ref="C2:G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4C5C7-E19E-416C-962B-C20DBE75D24E}">
  <dimension ref="B2:I86"/>
  <sheetViews>
    <sheetView zoomScale="35" workbookViewId="0">
      <selection activeCell="K64" sqref="K64"/>
    </sheetView>
  </sheetViews>
  <sheetFormatPr defaultRowHeight="14.25" x14ac:dyDescent="0.45"/>
  <cols>
    <col min="1" max="1" width="3.59765625" style="1" customWidth="1"/>
    <col min="2" max="2" width="22.59765625" style="1" customWidth="1"/>
    <col min="3" max="5" width="13.59765625" style="1" customWidth="1"/>
    <col min="6" max="6" width="10.59765625" style="1" customWidth="1"/>
    <col min="7" max="7" width="13.59765625" style="1" customWidth="1"/>
    <col min="8" max="10" width="12.59765625" style="1" customWidth="1"/>
    <col min="11" max="16384" width="9.06640625" style="1"/>
  </cols>
  <sheetData>
    <row r="2" spans="2:9" ht="88.05" customHeight="1" x14ac:dyDescent="0.55000000000000004">
      <c r="B2" s="3" t="s">
        <v>39</v>
      </c>
      <c r="C2" s="17"/>
      <c r="D2" s="17"/>
      <c r="E2" s="17"/>
      <c r="F2" s="17"/>
      <c r="G2" s="17"/>
    </row>
    <row r="4" spans="2:9" x14ac:dyDescent="0.45">
      <c r="B4" s="2"/>
      <c r="G4" s="2"/>
    </row>
    <row r="5" spans="2:9" x14ac:dyDescent="0.45">
      <c r="C5" s="14"/>
      <c r="D5" s="14"/>
      <c r="E5" s="14"/>
      <c r="G5" s="14"/>
    </row>
    <row r="6" spans="2:9" x14ac:dyDescent="0.45">
      <c r="C6" s="14"/>
      <c r="D6" s="14"/>
      <c r="E6" s="14"/>
      <c r="G6" s="14"/>
    </row>
    <row r="7" spans="2:9" x14ac:dyDescent="0.45">
      <c r="C7" s="14"/>
      <c r="D7" s="14"/>
      <c r="E7" s="14"/>
      <c r="G7" s="14"/>
    </row>
    <row r="9" spans="2:9" x14ac:dyDescent="0.45">
      <c r="B9" s="2"/>
      <c r="G9" s="2"/>
    </row>
    <row r="10" spans="2:9" x14ac:dyDescent="0.45">
      <c r="C10" s="14"/>
      <c r="D10" s="14"/>
      <c r="E10" s="14"/>
      <c r="G10" s="14"/>
      <c r="H10" s="14"/>
      <c r="I10" s="14"/>
    </row>
    <row r="11" spans="2:9" x14ac:dyDescent="0.45">
      <c r="C11" s="14"/>
      <c r="D11" s="14"/>
      <c r="E11" s="14"/>
      <c r="G11" s="14"/>
      <c r="H11" s="14"/>
      <c r="I11" s="14"/>
    </row>
    <row r="12" spans="2:9" x14ac:dyDescent="0.45">
      <c r="C12" s="14"/>
      <c r="D12" s="14"/>
      <c r="E12" s="14"/>
      <c r="G12" s="14"/>
      <c r="H12" s="14"/>
      <c r="I12" s="14"/>
    </row>
    <row r="14" spans="2:9" ht="18" x14ac:dyDescent="0.55000000000000004">
      <c r="B14" s="2" t="s">
        <v>9</v>
      </c>
      <c r="C14" s="8" t="s">
        <v>37</v>
      </c>
    </row>
    <row r="16" spans="2:9" x14ac:dyDescent="0.45">
      <c r="B16" s="2" t="s">
        <v>11</v>
      </c>
    </row>
    <row r="17" spans="2:6" x14ac:dyDescent="0.45">
      <c r="C17" s="14"/>
      <c r="D17" s="14"/>
      <c r="E17" s="14"/>
    </row>
    <row r="19" spans="2:6" x14ac:dyDescent="0.45">
      <c r="B19" s="2"/>
    </row>
    <row r="20" spans="2:6" x14ac:dyDescent="0.45">
      <c r="B20" s="15"/>
      <c r="C20" s="14"/>
    </row>
    <row r="21" spans="2:6" x14ac:dyDescent="0.45">
      <c r="B21" s="15"/>
      <c r="C21" s="14"/>
    </row>
    <row r="22" spans="2:6" x14ac:dyDescent="0.45">
      <c r="B22" s="15"/>
      <c r="C22" s="14"/>
    </row>
    <row r="24" spans="2:6" x14ac:dyDescent="0.45">
      <c r="B24" s="2"/>
      <c r="E24" s="2"/>
    </row>
    <row r="25" spans="2:6" x14ac:dyDescent="0.45">
      <c r="B25" s="15"/>
      <c r="C25" s="14"/>
      <c r="E25" s="15"/>
      <c r="F25" s="14"/>
    </row>
    <row r="26" spans="2:6" x14ac:dyDescent="0.45">
      <c r="B26" s="15"/>
      <c r="C26" s="14"/>
      <c r="E26" s="15"/>
      <c r="F26" s="14"/>
    </row>
    <row r="27" spans="2:6" x14ac:dyDescent="0.45">
      <c r="B27" s="15"/>
      <c r="C27" s="14"/>
      <c r="E27" s="15"/>
      <c r="F27" s="14"/>
    </row>
    <row r="32" spans="2:6" x14ac:dyDescent="0.45">
      <c r="B32" s="1" t="s">
        <v>36</v>
      </c>
    </row>
    <row r="33" s="1" customFormat="1" ht="300" customHeight="1" x14ac:dyDescent="0.45"/>
    <row r="52" ht="260" customHeight="1" x14ac:dyDescent="0.45"/>
    <row r="69" ht="260" customHeight="1" x14ac:dyDescent="0.45"/>
    <row r="86" ht="250.05" customHeight="1" x14ac:dyDescent="0.45"/>
  </sheetData>
  <mergeCells count="1">
    <mergeCell ref="C2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directo;cramer</vt:lpstr>
      <vt:lpstr>regresiva</vt:lpstr>
      <vt:lpstr>inversa</vt:lpstr>
      <vt:lpstr>gauss</vt:lpstr>
      <vt:lpstr>factorizacion lu</vt:lpstr>
      <vt:lpstr>cholesky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YASEN CUTIPA MAYHUA</dc:creator>
  <cp:lastModifiedBy>YASEN CUTIPA MAYHUA</cp:lastModifiedBy>
  <dcterms:created xsi:type="dcterms:W3CDTF">2026-09-14T13:19:19Z</dcterms:created>
  <dcterms:modified xsi:type="dcterms:W3CDTF">2026-09-16T19:22:19Z</dcterms:modified>
</cp:coreProperties>
</file>