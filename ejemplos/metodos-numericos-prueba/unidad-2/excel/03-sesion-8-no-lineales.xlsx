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61E9A78E-E74C-42AD-BC36-19CD7E755626}" xr6:coauthVersionLast="47" xr6:coauthVersionMax="47" xr10:uidLastSave="{00000000-0000-0000-0000-000000000000}"/>
  <bookViews>
    <workbookView xWindow="-98" yWindow="-98" windowWidth="19396" windowHeight="11475" activeTab="2" xr2:uid="{BD7642A0-7492-40FC-BD6D-31A40AC6F5A3}"/>
  </bookViews>
  <sheets>
    <sheet name="Seidel" sheetId="1" r:id="rId1"/>
    <sheet name="punto fijo" sheetId="2" r:id="rId2"/>
    <sheet name="newton raphs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3" l="1"/>
  <c r="H13" i="3"/>
  <c r="H12" i="3"/>
  <c r="I10" i="3"/>
  <c r="H11" i="3"/>
  <c r="H10" i="3"/>
  <c r="I8" i="3"/>
  <c r="H9" i="3"/>
  <c r="H8" i="3"/>
  <c r="I6" i="3"/>
  <c r="H7" i="3"/>
  <c r="H6" i="3"/>
  <c r="H5" i="3"/>
  <c r="H4" i="3"/>
  <c r="B22" i="3"/>
  <c r="B21" i="3"/>
  <c r="C18" i="3"/>
  <c r="B18" i="3"/>
  <c r="C17" i="3"/>
  <c r="B17" i="3"/>
  <c r="C14" i="3"/>
  <c r="B14" i="3"/>
  <c r="C13" i="3"/>
  <c r="B13" i="3"/>
  <c r="B10" i="3"/>
  <c r="B9" i="3"/>
  <c r="I20" i="2"/>
  <c r="H21" i="2"/>
  <c r="H20" i="2"/>
  <c r="I18" i="2"/>
  <c r="H19" i="2"/>
  <c r="H18" i="2"/>
  <c r="I16" i="2"/>
  <c r="H17" i="2"/>
  <c r="H16" i="2"/>
  <c r="I14" i="2"/>
  <c r="H15" i="2"/>
  <c r="H14" i="2"/>
  <c r="I12" i="2"/>
  <c r="H13" i="2"/>
  <c r="H12" i="2"/>
  <c r="I10" i="2"/>
  <c r="H11" i="2"/>
  <c r="H10" i="2"/>
  <c r="I8" i="2"/>
  <c r="H9" i="2"/>
  <c r="H8" i="2"/>
  <c r="I6" i="2"/>
  <c r="H7" i="2"/>
  <c r="H6" i="2"/>
  <c r="C56" i="2"/>
  <c r="D55" i="2"/>
  <c r="C55" i="2"/>
  <c r="D54" i="2"/>
  <c r="C54" i="2"/>
  <c r="C53" i="2"/>
  <c r="C52" i="2"/>
  <c r="C51" i="2"/>
  <c r="C50" i="2"/>
  <c r="C46" i="2"/>
  <c r="D45" i="2"/>
  <c r="C45" i="2"/>
  <c r="D44" i="2"/>
  <c r="C44" i="2"/>
  <c r="C42" i="2"/>
  <c r="C41" i="2"/>
  <c r="C33" i="2"/>
  <c r="D32" i="2"/>
  <c r="C32" i="2"/>
  <c r="D31" i="2"/>
  <c r="C31" i="2"/>
  <c r="C30" i="2"/>
  <c r="C29" i="2"/>
  <c r="C28" i="2"/>
  <c r="C27" i="2"/>
  <c r="C20" i="2"/>
  <c r="D19" i="2"/>
  <c r="C19" i="2"/>
  <c r="D18" i="2"/>
  <c r="C18" i="2"/>
  <c r="C17" i="2"/>
  <c r="C16" i="2"/>
  <c r="C15" i="2"/>
  <c r="C14" i="2"/>
  <c r="I49" i="1"/>
  <c r="J46" i="1"/>
  <c r="I48" i="1"/>
  <c r="I47" i="1"/>
  <c r="I46" i="1"/>
  <c r="J43" i="1"/>
  <c r="I45" i="1"/>
  <c r="I44" i="1"/>
  <c r="I43" i="1"/>
  <c r="J40" i="1"/>
  <c r="I42" i="1"/>
  <c r="I41" i="1"/>
  <c r="I40" i="1"/>
  <c r="J37" i="1"/>
  <c r="I39" i="1"/>
  <c r="I38" i="1"/>
  <c r="I37" i="1"/>
  <c r="J34" i="1"/>
  <c r="I36" i="1"/>
  <c r="I35" i="1"/>
  <c r="I34" i="1"/>
  <c r="J31" i="1"/>
  <c r="I33" i="1"/>
  <c r="I32" i="1"/>
  <c r="I31" i="1"/>
  <c r="J28" i="1"/>
  <c r="I30" i="1"/>
  <c r="I29" i="1"/>
  <c r="I28" i="1"/>
  <c r="J25" i="1"/>
  <c r="I27" i="1"/>
  <c r="I26" i="1"/>
  <c r="I25" i="1"/>
  <c r="J22" i="1"/>
  <c r="I24" i="1"/>
  <c r="I23" i="1"/>
  <c r="I22" i="1"/>
  <c r="J19" i="1"/>
  <c r="I21" i="1"/>
  <c r="I20" i="1"/>
  <c r="I19" i="1"/>
  <c r="J16" i="1"/>
  <c r="I18" i="1"/>
  <c r="I17" i="1"/>
  <c r="I16" i="1"/>
  <c r="J13" i="1"/>
  <c r="I15" i="1"/>
  <c r="I14" i="1"/>
  <c r="I13" i="1"/>
  <c r="J10" i="1"/>
  <c r="I12" i="1"/>
  <c r="I11" i="1"/>
  <c r="I10" i="1"/>
  <c r="J7" i="1"/>
  <c r="I9" i="1"/>
  <c r="I8" i="1"/>
  <c r="I7" i="1"/>
  <c r="B17" i="1"/>
  <c r="C16" i="1"/>
  <c r="B16" i="1"/>
  <c r="C15" i="1"/>
  <c r="B15" i="1"/>
  <c r="C14" i="1"/>
  <c r="B14" i="1"/>
  <c r="C13" i="1"/>
  <c r="B11" i="1"/>
  <c r="B10" i="1"/>
  <c r="B9" i="1"/>
  <c r="D7" i="1"/>
  <c r="C7" i="1"/>
  <c r="B7" i="1"/>
  <c r="D6" i="1"/>
  <c r="C6" i="1"/>
  <c r="B6" i="1"/>
  <c r="D5" i="1"/>
  <c r="C5" i="1"/>
  <c r="B5" i="1"/>
</calcChain>
</file>

<file path=xl/sharedStrings.xml><?xml version="1.0" encoding="utf-8"?>
<sst xmlns="http://schemas.openxmlformats.org/spreadsheetml/2006/main" count="113" uniqueCount="77">
  <si>
    <t>Convergencia</t>
  </si>
  <si>
    <t>Solución</t>
  </si>
  <si>
    <t>X0=(1,1,1)t</t>
  </si>
  <si>
    <t>i</t>
  </si>
  <si>
    <t>Xk</t>
  </si>
  <si>
    <t>E</t>
  </si>
  <si>
    <t>Bg</t>
  </si>
  <si>
    <t>C</t>
  </si>
  <si>
    <t>norm(Bg)</t>
  </si>
  <si>
    <t>norm(Bg,inf)</t>
  </si>
  <si>
    <t>norm(Bg,1)</t>
  </si>
  <si>
    <t>Radio espectral</t>
  </si>
  <si>
    <t>Al menos uno &lt; 1</t>
  </si>
  <si>
    <t>Radio espectral = 0.5556 &lt;1, Bg converge.</t>
  </si>
  <si>
    <t>E_inf</t>
  </si>
  <si>
    <t>Criterio</t>
  </si>
  <si>
    <t>||Xk-Xk-1||_inf &lt; 0.001</t>
  </si>
  <si>
    <t>Conclusión:</t>
  </si>
  <si>
    <t>En i=14, ||X14-X13||_inf &lt; 0.001.  X ≈ (1, 2, -1)</t>
  </si>
  <si>
    <t>Normas</t>
  </si>
  <si>
    <t>eig(Bg) y radio espectral</t>
  </si>
  <si>
    <t xml:space="preserve">Evidencias Octave </t>
  </si>
  <si>
    <t>g1(x,y)</t>
  </si>
  <si>
    <t>(x^2+y^2+8)/10</t>
  </si>
  <si>
    <t>g2(x,y)</t>
  </si>
  <si>
    <t>(x*y^2+x+8)/10</t>
  </si>
  <si>
    <t>x0</t>
  </si>
  <si>
    <t>y0</t>
  </si>
  <si>
    <t>Intersección</t>
  </si>
  <si>
    <t>de la gráfica</t>
  </si>
  <si>
    <t>Despeje 1</t>
  </si>
  <si>
    <t>x^2+y^2+8 = 10x</t>
  </si>
  <si>
    <t>xy^2+x+8 = 10y</t>
  </si>
  <si>
    <t>dg1x</t>
  </si>
  <si>
    <t>x/5</t>
  </si>
  <si>
    <t>dg1y</t>
  </si>
  <si>
    <t>y/5</t>
  </si>
  <si>
    <t>dg2x</t>
  </si>
  <si>
    <t>(y^2+1)/10</t>
  </si>
  <si>
    <t>dg2y</t>
  </si>
  <si>
    <t>y*x/5</t>
  </si>
  <si>
    <t>|dg1x|+|dg2x|</t>
  </si>
  <si>
    <t>|dg1y|+|dg2y|</t>
  </si>
  <si>
    <t>Converge</t>
  </si>
  <si>
    <t>Despeje 2</t>
  </si>
  <si>
    <t>x(x-10)=-8-y^2</t>
  </si>
  <si>
    <t>(-8-y^2)/(x-10)</t>
  </si>
  <si>
    <t>y(xy-10)=-8-x</t>
  </si>
  <si>
    <t>(-8-x)/(x*y-10)</t>
  </si>
  <si>
    <t>Despeje 3</t>
  </si>
  <si>
    <t>x(y^2+1)=10y-8</t>
  </si>
  <si>
    <t>(10y-8)/(y^2+1)</t>
  </si>
  <si>
    <t>y^2=10x-x^2-8</t>
  </si>
  <si>
    <t>sqrt(10x-x^2-8)</t>
  </si>
  <si>
    <t>Puntos iniciales</t>
  </si>
  <si>
    <t>(2,3)  (0,0)</t>
  </si>
  <si>
    <t>Despeje 1 en (0,0)</t>
  </si>
  <si>
    <t>Se itera despeje 1 desde (0,0)</t>
  </si>
  <si>
    <t>X0=(0,0)</t>
  </si>
  <si>
    <t>Xi</t>
  </si>
  <si>
    <t>Ei</t>
  </si>
  <si>
    <t>Evidencias Octave (Ventana de comandos)</t>
  </si>
  <si>
    <t>f1, f2 y ezplot</t>
  </si>
  <si>
    <t>F</t>
  </si>
  <si>
    <t>f1</t>
  </si>
  <si>
    <t>f2</t>
  </si>
  <si>
    <t>J</t>
  </si>
  <si>
    <t>df1/dx</t>
  </si>
  <si>
    <t>df1/dy</t>
  </si>
  <si>
    <t>IJ=inv(J)</t>
  </si>
  <si>
    <t>X1=X0-IJ*F</t>
  </si>
  <si>
    <t>x1</t>
  </si>
  <si>
    <t>y1</t>
  </si>
  <si>
    <t>f1 y f2</t>
  </si>
  <si>
    <t>F, J e IJ</t>
  </si>
  <si>
    <t>X0, X1 y X2</t>
  </si>
  <si>
    <t>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</si>
</sst>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1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5604</xdr:colOff>
      <xdr:row>23</xdr:row>
      <xdr:rowOff>72838</xdr:rowOff>
    </xdr:from>
    <xdr:to>
      <xdr:col>6</xdr:col>
      <xdr:colOff>308161</xdr:colOff>
      <xdr:row>35</xdr:row>
      <xdr:rowOff>109616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A727C-A34A-13F5-90E8-69A721D6C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4" y="6034367"/>
          <a:ext cx="6191249" cy="2188308"/>
        </a:xfrm>
        <a:prstGeom prst="rect">
          <a:avLst/>
        </a:prstGeom>
      </xdr:spPr>
    </xdr:pic>
    <xdr:clientData/>
  </xdr:twoCellAnchor>
  <xdr:twoCellAnchor editAs="oneCell">
    <xdr:from>
      <xdr:col>0</xdr:col>
      <xdr:colOff>28016</xdr:colOff>
      <xdr:row>38</xdr:row>
      <xdr:rowOff>74519</xdr:rowOff>
    </xdr:from>
    <xdr:to>
      <xdr:col>6</xdr:col>
      <xdr:colOff>285749</xdr:colOff>
      <xdr:row>50</xdr:row>
      <xdr:rowOff>314770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59517C-7CA3-4E88-3C10-FDF118169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6" y="8725460"/>
          <a:ext cx="6146425" cy="2391781"/>
        </a:xfrm>
        <a:prstGeom prst="rect">
          <a:avLst/>
        </a:prstGeom>
      </xdr:spPr>
    </xdr:pic>
    <xdr:clientData/>
  </xdr:twoCellAnchor>
  <xdr:twoCellAnchor editAs="oneCell">
    <xdr:from>
      <xdr:col>0</xdr:col>
      <xdr:colOff>16809</xdr:colOff>
      <xdr:row>52</xdr:row>
      <xdr:rowOff>134471</xdr:rowOff>
    </xdr:from>
    <xdr:to>
      <xdr:col>7</xdr:col>
      <xdr:colOff>391459</xdr:colOff>
      <xdr:row>54</xdr:row>
      <xdr:rowOff>1964191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17A50E-3484-B252-6EF8-B7A35EDD8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9" y="11575677"/>
          <a:ext cx="6593915" cy="2188308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54</xdr:row>
      <xdr:rowOff>2039470</xdr:rowOff>
    </xdr:from>
    <xdr:to>
      <xdr:col>7</xdr:col>
      <xdr:colOff>397062</xdr:colOff>
      <xdr:row>70</xdr:row>
      <xdr:rowOff>531819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DEA4E6-1016-CCE2-323E-9875E10D0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13839264"/>
          <a:ext cx="6593915" cy="4229761"/>
        </a:xfrm>
        <a:prstGeom prst="rect">
          <a:avLst/>
        </a:prstGeom>
      </xdr:spPr>
    </xdr:pic>
    <xdr:clientData/>
  </xdr:twoCellAnchor>
  <xdr:twoCellAnchor editAs="oneCell">
    <xdr:from>
      <xdr:col>0</xdr:col>
      <xdr:colOff>44825</xdr:colOff>
      <xdr:row>70</xdr:row>
      <xdr:rowOff>683559</xdr:rowOff>
    </xdr:from>
    <xdr:to>
      <xdr:col>7</xdr:col>
      <xdr:colOff>419475</xdr:colOff>
      <xdr:row>76</xdr:row>
      <xdr:rowOff>154958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43EF4F-12FB-EEC0-494D-B02EF2A04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5" y="18220765"/>
          <a:ext cx="6593915" cy="34158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44824</xdr:rowOff>
    </xdr:from>
    <xdr:to>
      <xdr:col>3</xdr:col>
      <xdr:colOff>509866</xdr:colOff>
      <xdr:row>1</xdr:row>
      <xdr:rowOff>1761019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D15A9F3-5D1C-D1BA-6655-BADC4D57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824"/>
          <a:ext cx="4062131" cy="1895489"/>
        </a:xfrm>
        <a:prstGeom prst="rect">
          <a:avLst/>
        </a:prstGeom>
      </xdr:spPr>
    </xdr:pic>
    <xdr:clientData/>
  </xdr:twoCellAnchor>
  <xdr:twoCellAnchor editAs="oneCell">
    <xdr:from>
      <xdr:col>0</xdr:col>
      <xdr:colOff>72839</xdr:colOff>
      <xdr:row>77</xdr:row>
      <xdr:rowOff>5602</xdr:rowOff>
    </xdr:from>
    <xdr:to>
      <xdr:col>7</xdr:col>
      <xdr:colOff>447489</xdr:colOff>
      <xdr:row>102</xdr:row>
      <xdr:rowOff>1382562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BDEB20D-2157-4B4A-B604-B0ACEE99C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9" y="21666573"/>
          <a:ext cx="6593915" cy="8728018"/>
        </a:xfrm>
        <a:prstGeom prst="rect">
          <a:avLst/>
        </a:prstGeom>
      </xdr:spPr>
    </xdr:pic>
    <xdr:clientData/>
  </xdr:twoCellAnchor>
  <xdr:twoCellAnchor editAs="oneCell">
    <xdr:from>
      <xdr:col>0</xdr:col>
      <xdr:colOff>84044</xdr:colOff>
      <xdr:row>102</xdr:row>
      <xdr:rowOff>1355912</xdr:rowOff>
    </xdr:from>
    <xdr:to>
      <xdr:col>7</xdr:col>
      <xdr:colOff>458694</xdr:colOff>
      <xdr:row>126</xdr:row>
      <xdr:rowOff>43458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98A7C2-0292-456C-A0B0-46A7BE663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4" y="30367941"/>
          <a:ext cx="6593915" cy="8728017"/>
        </a:xfrm>
        <a:prstGeom prst="rect">
          <a:avLst/>
        </a:prstGeom>
      </xdr:spPr>
    </xdr:pic>
    <xdr:clientData/>
  </xdr:twoCellAnchor>
  <xdr:twoCellAnchor editAs="oneCell">
    <xdr:from>
      <xdr:col>0</xdr:col>
      <xdr:colOff>106456</xdr:colOff>
      <xdr:row>126</xdr:row>
      <xdr:rowOff>162485</xdr:rowOff>
    </xdr:from>
    <xdr:to>
      <xdr:col>7</xdr:col>
      <xdr:colOff>481106</xdr:colOff>
      <xdr:row>150</xdr:row>
      <xdr:rowOff>1691844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2E7A976-4F3E-4155-8A16-C33916940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6" y="39214985"/>
          <a:ext cx="6593915" cy="8701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35278</xdr:colOff>
      <xdr:row>94</xdr:row>
      <xdr:rowOff>141111</xdr:rowOff>
    </xdr:from>
    <xdr:to>
      <xdr:col>8</xdr:col>
      <xdr:colOff>192440</xdr:colOff>
      <xdr:row>101</xdr:row>
      <xdr:rowOff>40835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B04792-E4F5-2D6B-F0EB-FCE488F3C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78" y="28054654"/>
          <a:ext cx="6859940" cy="4529931"/>
        </a:xfrm>
        <a:prstGeom prst="rect">
          <a:avLst/>
        </a:prstGeom>
      </xdr:spPr>
    </xdr:pic>
    <xdr:clientData/>
  </xdr:twoCellAnchor>
  <xdr:twoCellAnchor editAs="oneCell">
    <xdr:from>
      <xdr:col>0</xdr:col>
      <xdr:colOff>35278</xdr:colOff>
      <xdr:row>102</xdr:row>
      <xdr:rowOff>105833</xdr:rowOff>
    </xdr:from>
    <xdr:to>
      <xdr:col>8</xdr:col>
      <xdr:colOff>192440</xdr:colOff>
      <xdr:row>128</xdr:row>
      <xdr:rowOff>238818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5C74F0-6FAB-E0E0-2969-7D6177C7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78" y="32834792"/>
          <a:ext cx="6859940" cy="51688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2294</xdr:colOff>
      <xdr:row>1</xdr:row>
      <xdr:rowOff>1446387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8B832-FF02-4CCC-9022-0772234B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047016" cy="1631596"/>
        </a:xfrm>
        <a:prstGeom prst="rect">
          <a:avLst/>
        </a:prstGeom>
      </xdr:spPr>
    </xdr:pic>
    <xdr:clientData/>
  </xdr:twoCellAnchor>
  <xdr:twoCellAnchor editAs="oneCell">
    <xdr:from>
      <xdr:col>5</xdr:col>
      <xdr:colOff>149929</xdr:colOff>
      <xdr:row>22</xdr:row>
      <xdr:rowOff>105832</xdr:rowOff>
    </xdr:from>
    <xdr:to>
      <xdr:col>12</xdr:col>
      <xdr:colOff>634999</xdr:colOff>
      <xdr:row>41</xdr:row>
      <xdr:rowOff>100591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F75340-BDC7-4F1D-91CB-4B4329C9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333" y="6376458"/>
          <a:ext cx="6094236" cy="3831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176388</xdr:rowOff>
    </xdr:from>
    <xdr:to>
      <xdr:col>8</xdr:col>
      <xdr:colOff>157162</xdr:colOff>
      <xdr:row>71</xdr:row>
      <xdr:rowOff>2250111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F734CD-72C4-4F1C-BA2E-EDC99FE98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25625"/>
          <a:ext cx="6859940" cy="3670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2425348</xdr:rowOff>
    </xdr:from>
    <xdr:to>
      <xdr:col>8</xdr:col>
      <xdr:colOff>157162</xdr:colOff>
      <xdr:row>81</xdr:row>
      <xdr:rowOff>3459150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847A71-6707-49F5-9A33-54CC68BF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70904"/>
          <a:ext cx="6859940" cy="5152483"/>
        </a:xfrm>
        <a:prstGeom prst="rect">
          <a:avLst/>
        </a:prstGeom>
      </xdr:spPr>
    </xdr:pic>
    <xdr:clientData/>
  </xdr:twoCellAnchor>
  <xdr:twoCellAnchor editAs="oneCell">
    <xdr:from>
      <xdr:col>0</xdr:col>
      <xdr:colOff>79376</xdr:colOff>
      <xdr:row>89</xdr:row>
      <xdr:rowOff>61736</xdr:rowOff>
    </xdr:from>
    <xdr:to>
      <xdr:col>8</xdr:col>
      <xdr:colOff>236538</xdr:colOff>
      <xdr:row>93</xdr:row>
      <xdr:rowOff>75410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890B668-BB3E-47C7-8CC0-EB4E03C87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6" y="23680208"/>
          <a:ext cx="6859940" cy="4123535"/>
        </a:xfrm>
        <a:prstGeom prst="rect">
          <a:avLst/>
        </a:prstGeom>
      </xdr:spPr>
    </xdr:pic>
    <xdr:clientData/>
  </xdr:twoCellAnchor>
  <xdr:twoCellAnchor editAs="oneCell">
    <xdr:from>
      <xdr:col>0</xdr:col>
      <xdr:colOff>97014</xdr:colOff>
      <xdr:row>113</xdr:row>
      <xdr:rowOff>123473</xdr:rowOff>
    </xdr:from>
    <xdr:to>
      <xdr:col>8</xdr:col>
      <xdr:colOff>254176</xdr:colOff>
      <xdr:row>173</xdr:row>
      <xdr:rowOff>124340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DE1F834-2E65-4A63-AE5A-817B7AD5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14" y="38258751"/>
          <a:ext cx="6859940" cy="12162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8</xdr:col>
      <xdr:colOff>85725</xdr:colOff>
      <xdr:row>43</xdr:row>
      <xdr:rowOff>90878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E6402C-E3FD-CD6D-029C-77313681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24438"/>
          <a:ext cx="6858000" cy="3458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126546</xdr:rowOff>
    </xdr:from>
    <xdr:to>
      <xdr:col>8</xdr:col>
      <xdr:colOff>85725</xdr:colOff>
      <xdr:row>48</xdr:row>
      <xdr:rowOff>111998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629115-635C-BE9D-3CF6-1A1DED4F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65796"/>
          <a:ext cx="6841672" cy="4088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92527</xdr:rowOff>
    </xdr:from>
    <xdr:to>
      <xdr:col>8</xdr:col>
      <xdr:colOff>85725</xdr:colOff>
      <xdr:row>68</xdr:row>
      <xdr:rowOff>106534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A0AF58-DF6A-98B3-7666-A1EC6DB35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74510"/>
          <a:ext cx="6841672" cy="3667524"/>
        </a:xfrm>
        <a:prstGeom prst="rect">
          <a:avLst/>
        </a:prstGeom>
      </xdr:spPr>
    </xdr:pic>
    <xdr:clientData/>
  </xdr:twoCellAnchor>
  <xdr:twoCellAnchor editAs="oneCell">
    <xdr:from>
      <xdr:col>0</xdr:col>
      <xdr:colOff>40820</xdr:colOff>
      <xdr:row>69</xdr:row>
      <xdr:rowOff>117701</xdr:rowOff>
    </xdr:from>
    <xdr:to>
      <xdr:col>8</xdr:col>
      <xdr:colOff>126545</xdr:colOff>
      <xdr:row>92</xdr:row>
      <xdr:rowOff>75267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9980C9-DF13-C6BB-DA67-BFC98E7BA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0" y="17636898"/>
          <a:ext cx="6841672" cy="42982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3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2BD7B-928C-45D6-90FB-FFC2D66D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5102679" cy="1387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35B2-9C0F-4939-9535-5C660A3ACB76}">
  <dimension ref="A2:J167"/>
  <sheetViews>
    <sheetView zoomScale="69" workbookViewId="0">
      <selection activeCell="L51" sqref="L51"/>
    </sheetView>
  </sheetViews>
  <sheetFormatPr defaultRowHeight="14.25" x14ac:dyDescent="0.45"/>
  <cols>
    <col min="1" max="1" width="22.59765625" style="1" customWidth="1"/>
    <col min="2" max="4" width="13.59765625" style="1" customWidth="1"/>
    <col min="5" max="5" width="5.59765625" style="1" customWidth="1"/>
    <col min="6" max="6" width="13.59765625" style="1" customWidth="1"/>
    <col min="7" max="7" width="4.59765625" style="1" customWidth="1"/>
    <col min="8" max="8" width="10.53125" style="1" customWidth="1"/>
    <col min="9" max="10" width="13.59765625" style="1" customWidth="1"/>
    <col min="11" max="11" width="12.59765625" style="1" customWidth="1"/>
    <col min="12" max="16384" width="9.06640625" style="1"/>
  </cols>
  <sheetData>
    <row r="2" spans="1:10" ht="159" customHeight="1" x14ac:dyDescent="0.45">
      <c r="B2" s="7"/>
      <c r="C2" s="7"/>
      <c r="D2" s="7"/>
      <c r="H2" s="1" t="s">
        <v>1</v>
      </c>
      <c r="J2" s="1" t="s">
        <v>2</v>
      </c>
    </row>
    <row r="3" spans="1:10" x14ac:dyDescent="0.45">
      <c r="A3" s="1" t="s">
        <v>0</v>
      </c>
      <c r="H3" s="3" t="s">
        <v>3</v>
      </c>
      <c r="I3" s="3" t="s">
        <v>4</v>
      </c>
      <c r="J3" s="3" t="s">
        <v>5</v>
      </c>
    </row>
    <row r="4" spans="1:10" x14ac:dyDescent="0.45">
      <c r="H4" s="9">
        <v>0</v>
      </c>
      <c r="I4" s="5">
        <v>1</v>
      </c>
      <c r="J4" s="10"/>
    </row>
    <row r="5" spans="1:10" x14ac:dyDescent="0.45">
      <c r="A5" s="2" t="s">
        <v>6</v>
      </c>
      <c r="B5" s="5">
        <f>0</f>
        <v>0</v>
      </c>
      <c r="C5" s="5">
        <f>1/2</f>
        <v>0.5</v>
      </c>
      <c r="D5" s="5">
        <f>-1/2</f>
        <v>-0.5</v>
      </c>
      <c r="H5" s="9"/>
      <c r="I5" s="5">
        <v>1</v>
      </c>
      <c r="J5" s="10"/>
    </row>
    <row r="6" spans="1:10" x14ac:dyDescent="0.45">
      <c r="B6" s="5">
        <f>0</f>
        <v>0</v>
      </c>
      <c r="C6" s="5">
        <f>-1/2</f>
        <v>-0.5</v>
      </c>
      <c r="D6" s="5">
        <f>-7/6</f>
        <v>-1.1666666666666667</v>
      </c>
      <c r="H6" s="9"/>
      <c r="I6" s="5">
        <v>1</v>
      </c>
      <c r="J6" s="10"/>
    </row>
    <row r="7" spans="1:10" x14ac:dyDescent="0.45">
      <c r="B7" s="5">
        <f>0</f>
        <v>0</v>
      </c>
      <c r="C7" s="5">
        <f>0</f>
        <v>0</v>
      </c>
      <c r="D7" s="5">
        <f>5/9</f>
        <v>0.55555555555555558</v>
      </c>
      <c r="H7" s="9">
        <v>1</v>
      </c>
      <c r="I7" s="5">
        <f>INDEX(MMULT($B$5:$D$7,$I$4:$I$6),1,1)+$B$9</f>
        <v>-0.5</v>
      </c>
      <c r="J7" s="10">
        <f>SQRT((I7-I4)^2+(I8-I5)^2+(I9-I6)^2)</f>
        <v>1.932503014547343</v>
      </c>
    </row>
    <row r="8" spans="1:10" x14ac:dyDescent="0.45">
      <c r="H8" s="9"/>
      <c r="I8" s="5">
        <f>INDEX(MMULT($B$5:$D$7,$I$4:$I$6),2,1)+$B$10</f>
        <v>0.16666666666666652</v>
      </c>
      <c r="J8" s="10"/>
    </row>
    <row r="9" spans="1:10" x14ac:dyDescent="0.45">
      <c r="A9" s="2" t="s">
        <v>7</v>
      </c>
      <c r="B9" s="5">
        <f>-1/2</f>
        <v>-0.5</v>
      </c>
      <c r="H9" s="9"/>
      <c r="I9" s="5">
        <f>INDEX(MMULT($B$5:$D$7,$I$4:$I$6),3,1)+$B$11</f>
        <v>0.11111111111111116</v>
      </c>
      <c r="J9" s="10"/>
    </row>
    <row r="10" spans="1:10" x14ac:dyDescent="0.45">
      <c r="B10" s="5">
        <f>11/6</f>
        <v>1.8333333333333333</v>
      </c>
      <c r="H10" s="9">
        <v>2</v>
      </c>
      <c r="I10" s="5">
        <f>INDEX(MMULT($B$5:$D$7,$I$7:$I$9),1,1)+$B$9</f>
        <v>-0.47222222222222232</v>
      </c>
      <c r="J10" s="10">
        <f>SQRT((I10-I7)^2+(I11-I8)^2+(I12-I9)^2)</f>
        <v>1.5355426817713449</v>
      </c>
    </row>
    <row r="11" spans="1:10" x14ac:dyDescent="0.45">
      <c r="B11" s="5">
        <f>-4/9</f>
        <v>-0.44444444444444442</v>
      </c>
      <c r="H11" s="9"/>
      <c r="I11" s="5">
        <f>INDEX(MMULT($B$5:$D$7,$I$7:$I$9),2,1)+$B$10</f>
        <v>1.6203703703703702</v>
      </c>
      <c r="J11" s="10"/>
    </row>
    <row r="12" spans="1:10" x14ac:dyDescent="0.45">
      <c r="H12" s="9"/>
      <c r="I12" s="5">
        <f>INDEX(MMULT($B$5:$D$7,$I$7:$I$9),3,1)+$B$11</f>
        <v>-0.38271604938271597</v>
      </c>
      <c r="J12" s="10"/>
    </row>
    <row r="13" spans="1:10" x14ac:dyDescent="0.45">
      <c r="A13" s="1" t="s">
        <v>8</v>
      </c>
      <c r="B13" s="4">
        <v>1.4121326999999999</v>
      </c>
      <c r="C13" s="1" t="str">
        <f>IF(B13&lt;1,"si","no")</f>
        <v>no</v>
      </c>
      <c r="H13" s="9">
        <v>3</v>
      </c>
      <c r="I13" s="5">
        <f>INDEX(MMULT($B$5:$D$7,$I$10:$I$12),1,1)+$B$9</f>
        <v>0.50154320987654311</v>
      </c>
      <c r="J13" s="10">
        <f>SQRT((I13-I10)^2+(I14-I11)^2+(I15-I12)^2)</f>
        <v>1.0228405260335711</v>
      </c>
    </row>
    <row r="14" spans="1:10" x14ac:dyDescent="0.45">
      <c r="A14" s="1" t="s">
        <v>9</v>
      </c>
      <c r="B14" s="4">
        <f>MAX(ABS(B5)+ABS(C5)+ABS(D5),ABS(B6)+ABS(C6)+ABS(D6),ABS(B7)+ABS(C7)+ABS(D7))</f>
        <v>1.6666666666666667</v>
      </c>
      <c r="C14" s="1" t="str">
        <f>IF(B14&lt;1,"si","no")</f>
        <v>no</v>
      </c>
      <c r="H14" s="9"/>
      <c r="I14" s="5">
        <f>INDEX(MMULT($B$5:$D$7,$I$10:$I$12),2,1)+$B$10</f>
        <v>1.4696502057613168</v>
      </c>
      <c r="J14" s="10"/>
    </row>
    <row r="15" spans="1:10" x14ac:dyDescent="0.45">
      <c r="A15" s="1" t="s">
        <v>10</v>
      </c>
      <c r="B15" s="4">
        <f>MAX(ABS(B5)+ABS(B6)+ABS(B7),ABS(C5)+ABS(C6)+ABS(C7),ABS(D5)+ABS(D6)+ABS(D7))</f>
        <v>2.2222222222222223</v>
      </c>
      <c r="C15" s="1" t="str">
        <f>IF(B15&lt;1,"si","no")</f>
        <v>no</v>
      </c>
      <c r="H15" s="9"/>
      <c r="I15" s="5">
        <f>INDEX(MMULT($B$5:$D$7,$I$10:$I$12),3,1)+$B$11</f>
        <v>-0.65706447187928663</v>
      </c>
      <c r="J15" s="10"/>
    </row>
    <row r="16" spans="1:10" x14ac:dyDescent="0.45">
      <c r="A16" s="1" t="s">
        <v>11</v>
      </c>
      <c r="B16" s="4">
        <f>MAX(ABS(0),ABS(-0.5),ABS(5/9))</f>
        <v>0.55555555555555558</v>
      </c>
      <c r="C16" s="1" t="str">
        <f>IF(B16&lt;1,"si","no")</f>
        <v>si</v>
      </c>
      <c r="H16" s="9">
        <v>4</v>
      </c>
      <c r="I16" s="5">
        <f>INDEX(MMULT($B$5:$D$7,$I$13:$I$15),1,1)+$B$9</f>
        <v>0.5633573388203017</v>
      </c>
      <c r="J16" s="10">
        <f>SQRT((I16-I13)^2+(I17-I14)^2+(I18-I15)^2)</f>
        <v>0.42827445458405877</v>
      </c>
    </row>
    <row r="17" spans="1:10" x14ac:dyDescent="0.45">
      <c r="A17" s="1" t="s">
        <v>12</v>
      </c>
      <c r="B17" s="1" t="str">
        <f>IF(OR(B13&lt;1,B14&lt;1,B15&lt;1,B16&lt;1),"si","no")</f>
        <v>si</v>
      </c>
      <c r="H17" s="9"/>
      <c r="I17" s="5">
        <f>INDEX(MMULT($B$5:$D$7,$I$13:$I$15),2,1)+$B$10</f>
        <v>1.8650834476451759</v>
      </c>
      <c r="J17" s="10"/>
    </row>
    <row r="18" spans="1:10" x14ac:dyDescent="0.45">
      <c r="H18" s="9"/>
      <c r="I18" s="5">
        <f>INDEX(MMULT($B$5:$D$7,$I$13:$I$15),3,1)+$B$11</f>
        <v>-0.80948026215515922</v>
      </c>
      <c r="J18" s="10"/>
    </row>
    <row r="19" spans="1:10" x14ac:dyDescent="0.45">
      <c r="A19" s="1" t="s">
        <v>13</v>
      </c>
      <c r="H19" s="9">
        <v>5</v>
      </c>
      <c r="I19" s="5">
        <f>INDEX(MMULT($B$5:$D$7,$I$16:$I$18),1,1)+$B$9</f>
        <v>0.83728185490016749</v>
      </c>
      <c r="J19" s="10">
        <f>SQRT((I19-I16)^2+(I20-I17)^2+(I21-I18)^2)</f>
        <v>0.28740304244763887</v>
      </c>
    </row>
    <row r="20" spans="1:10" x14ac:dyDescent="0.45">
      <c r="H20" s="9"/>
      <c r="I20" s="5">
        <f>INDEX(MMULT($B$5:$D$7,$I$16:$I$18),2,1)+$B$10</f>
        <v>1.8451852486917644</v>
      </c>
      <c r="J20" s="10"/>
    </row>
    <row r="21" spans="1:10" x14ac:dyDescent="0.45">
      <c r="H21" s="9"/>
      <c r="I21" s="5">
        <f>INDEX(MMULT($B$5:$D$7,$I$16:$I$18),3,1)+$B$11</f>
        <v>-0.89415570119731069</v>
      </c>
      <c r="J21" s="10"/>
    </row>
    <row r="22" spans="1:10" x14ac:dyDescent="0.45">
      <c r="A22" s="2" t="s">
        <v>21</v>
      </c>
      <c r="H22" s="9">
        <v>6</v>
      </c>
      <c r="I22" s="5">
        <f>INDEX(MMULT($B$5:$D$7,$I$19:$I$21),1,1)+$B$9</f>
        <v>0.86967047494453764</v>
      </c>
      <c r="J22" s="10">
        <f>SQRT((I22-I19)^2+(I23-I20)^2+(I24-I21)^2)</f>
        <v>0.12282395335819724</v>
      </c>
    </row>
    <row r="23" spans="1:10" x14ac:dyDescent="0.45">
      <c r="A23" s="1" t="s">
        <v>6</v>
      </c>
      <c r="H23" s="9"/>
      <c r="I23" s="5">
        <f>INDEX(MMULT($B$5:$D$7,$I$19:$I$21),2,1)+$B$10</f>
        <v>1.9539223603843137</v>
      </c>
      <c r="J23" s="10"/>
    </row>
    <row r="24" spans="1:10" x14ac:dyDescent="0.45">
      <c r="H24" s="9"/>
      <c r="I24" s="5">
        <f>INDEX(MMULT($B$5:$D$7,$I$19:$I$21),3,1)+$B$11</f>
        <v>-0.94119761177628369</v>
      </c>
      <c r="J24" s="10"/>
    </row>
    <row r="25" spans="1:10" x14ac:dyDescent="0.45">
      <c r="H25" s="9">
        <v>7</v>
      </c>
      <c r="I25" s="5">
        <f>INDEX(MMULT($B$5:$D$7,$I$22:$I$24),1,1)+$B$9</f>
        <v>0.94755998608029879</v>
      </c>
      <c r="J25" s="10">
        <f>SQRT((I25-I22)^2+(I26-I23)^2+(I27-I24)^2)</f>
        <v>8.2158665975512982E-2</v>
      </c>
    </row>
    <row r="26" spans="1:10" x14ac:dyDescent="0.45">
      <c r="H26" s="9"/>
      <c r="I26" s="5">
        <f>INDEX(MMULT($B$5:$D$7,$I$22:$I$24),2,1)+$B$10</f>
        <v>1.9544360335468407</v>
      </c>
      <c r="J26" s="10"/>
    </row>
    <row r="27" spans="1:10" x14ac:dyDescent="0.45">
      <c r="H27" s="9"/>
      <c r="I27" s="5">
        <f>INDEX(MMULT($B$5:$D$7,$I$22:$I$24),3,1)+$B$11</f>
        <v>-0.96733200654237983</v>
      </c>
      <c r="J27" s="10"/>
    </row>
    <row r="28" spans="1:10" x14ac:dyDescent="0.45">
      <c r="H28" s="9">
        <v>8</v>
      </c>
      <c r="I28" s="5">
        <f>INDEX(MMULT($B$5:$D$7,$I$25:$I$27),1,1)+$B$9</f>
        <v>0.96088402004461027</v>
      </c>
      <c r="J28" s="10">
        <f>SQRT((I28-I25)^2+(I29-I26)^2+(I30-I27)^2)</f>
        <v>3.6088588880422288E-2</v>
      </c>
    </row>
    <row r="29" spans="1:10" x14ac:dyDescent="0.45">
      <c r="H29" s="9"/>
      <c r="I29" s="5">
        <f>INDEX(MMULT($B$5:$D$7,$I$25:$I$27),2,1)+$B$10</f>
        <v>1.9846693241926894</v>
      </c>
      <c r="J29" s="10"/>
    </row>
    <row r="30" spans="1:10" x14ac:dyDescent="0.45">
      <c r="H30" s="9"/>
      <c r="I30" s="5">
        <f>INDEX(MMULT($B$5:$D$7,$I$25:$I$27),3,1)+$B$11</f>
        <v>-0.98185111474576658</v>
      </c>
      <c r="J30" s="10"/>
    </row>
    <row r="31" spans="1:10" x14ac:dyDescent="0.45">
      <c r="H31" s="9">
        <v>9</v>
      </c>
      <c r="I31" s="5">
        <f>INDEX(MMULT($B$5:$D$7,$I$28:$I$30),1,1)+$B$9</f>
        <v>0.98326021946922793</v>
      </c>
      <c r="J31" s="10">
        <f>SQRT((I31-I28)^2+(I32-I29)^2+(I33-I30)^2)</f>
        <v>2.385536099337349E-2</v>
      </c>
    </row>
    <row r="32" spans="1:10" x14ac:dyDescent="0.45">
      <c r="H32" s="9"/>
      <c r="I32" s="5">
        <f>INDEX(MMULT($B$5:$D$7,$I$28:$I$30),2,1)+$B$10</f>
        <v>1.986491638440383</v>
      </c>
      <c r="J32" s="10"/>
    </row>
    <row r="33" spans="1:10" x14ac:dyDescent="0.45">
      <c r="H33" s="9"/>
      <c r="I33" s="5">
        <f>INDEX(MMULT($B$5:$D$7,$I$28:$I$30),3,1)+$B$11</f>
        <v>-0.98991728596987028</v>
      </c>
      <c r="J33" s="10"/>
    </row>
    <row r="34" spans="1:10" x14ac:dyDescent="0.45">
      <c r="H34" s="9">
        <v>10</v>
      </c>
      <c r="I34" s="5">
        <f>INDEX(MMULT($B$5:$D$7,$I$31:$I$33),1,1)+$B$9</f>
        <v>0.9882044622051267</v>
      </c>
      <c r="J34" s="10">
        <f>SQRT((I34-I31)^2+(I35-I32)^2+(I36-I33)^2)</f>
        <v>1.0805838118951874E-2</v>
      </c>
    </row>
    <row r="35" spans="1:10" x14ac:dyDescent="0.45">
      <c r="H35" s="9"/>
      <c r="I35" s="5">
        <f>INDEX(MMULT($B$5:$D$7,$I$31:$I$33),2,1)+$B$10</f>
        <v>1.9949910144113239</v>
      </c>
      <c r="J35" s="10"/>
    </row>
    <row r="36" spans="1:10" x14ac:dyDescent="0.45">
      <c r="H36" s="9"/>
      <c r="I36" s="5">
        <f>INDEX(MMULT($B$5:$D$7,$I$31:$I$33),3,1)+$B$11</f>
        <v>-0.99439849220548349</v>
      </c>
      <c r="J36" s="10"/>
    </row>
    <row r="37" spans="1:10" x14ac:dyDescent="0.45">
      <c r="H37" s="9">
        <v>11</v>
      </c>
      <c r="I37" s="5">
        <f>INDEX(MMULT($B$5:$D$7,$I$34:$I$36),1,1)+$B$9</f>
        <v>0.99469475330840362</v>
      </c>
      <c r="J37" s="10">
        <f>SQRT((I37-I34)^2+(I38-I35)^2+(I39-I36)^2)</f>
        <v>7.0199018367296459E-3</v>
      </c>
    </row>
    <row r="38" spans="1:10" x14ac:dyDescent="0.45">
      <c r="A38" s="1" t="s">
        <v>19</v>
      </c>
      <c r="H38" s="9"/>
      <c r="I38" s="5">
        <f>INDEX(MMULT($B$5:$D$7,$I$34:$I$36),2,1)+$B$10</f>
        <v>1.9959694003674022</v>
      </c>
      <c r="J38" s="10"/>
    </row>
    <row r="39" spans="1:10" x14ac:dyDescent="0.45">
      <c r="H39" s="9"/>
      <c r="I39" s="5">
        <f>INDEX(MMULT($B$5:$D$7,$I$34:$I$36),3,1)+$B$11</f>
        <v>-0.99688805122526858</v>
      </c>
      <c r="J39" s="10"/>
    </row>
    <row r="40" spans="1:10" x14ac:dyDescent="0.45">
      <c r="H40" s="9">
        <v>12</v>
      </c>
      <c r="I40" s="5">
        <f>INDEX(MMULT($B$5:$D$7,$I$37:$I$39),1,1)+$B$9</f>
        <v>0.99642872579633535</v>
      </c>
      <c r="J40" s="10">
        <f>SQRT((I40-I37)^2+(I41-I38)^2+(I42-I39)^2)</f>
        <v>3.2792121058652216E-3</v>
      </c>
    </row>
    <row r="41" spans="1:10" x14ac:dyDescent="0.45">
      <c r="H41" s="9"/>
      <c r="I41" s="5">
        <f>INDEX(MMULT($B$5:$D$7,$I$37:$I$39),2,1)+$B$10</f>
        <v>1.9983846929124454</v>
      </c>
      <c r="J41" s="10"/>
    </row>
    <row r="42" spans="1:10" x14ac:dyDescent="0.45">
      <c r="H42" s="9"/>
      <c r="I42" s="5">
        <f>INDEX(MMULT($B$5:$D$7,$I$37:$I$39),3,1)+$B$11</f>
        <v>-0.99827113956959368</v>
      </c>
      <c r="J42" s="10"/>
    </row>
    <row r="43" spans="1:10" x14ac:dyDescent="0.45">
      <c r="H43" s="9">
        <v>13</v>
      </c>
      <c r="I43" s="5">
        <f>INDEX(MMULT($B$5:$D$7,$I$40:$I$42),1,1)+$B$9</f>
        <v>0.99832791624101946</v>
      </c>
      <c r="J43" s="10">
        <f>SQRT((I43-I40)^2+(I44-I41)^2+(I45-I42)^2)</f>
        <v>2.0885729095916606E-3</v>
      </c>
    </row>
    <row r="44" spans="1:10" x14ac:dyDescent="0.45">
      <c r="H44" s="9"/>
      <c r="I44" s="5">
        <f>INDEX(MMULT($B$5:$D$7,$I$40:$I$42),2,1)+$B$10</f>
        <v>1.9987906497083032</v>
      </c>
      <c r="J44" s="10"/>
    </row>
    <row r="45" spans="1:10" x14ac:dyDescent="0.45">
      <c r="H45" s="9"/>
      <c r="I45" s="5">
        <f>INDEX(MMULT($B$5:$D$7,$I$40:$I$42),3,1)+$B$11</f>
        <v>-0.99903952198310764</v>
      </c>
      <c r="J45" s="10"/>
    </row>
    <row r="46" spans="1:10" x14ac:dyDescent="0.45">
      <c r="H46" s="9">
        <v>14</v>
      </c>
      <c r="I46" s="5">
        <f>INDEX(MMULT($B$5:$D$7,$I$43:$I$45),1,1)+$B$9</f>
        <v>0.99891508584570543</v>
      </c>
      <c r="J46" s="10">
        <f>SQRT((I46-I43)^2+(I47-I44)^2+(I48-I45)^2)</f>
        <v>1.0039379704412344E-3</v>
      </c>
    </row>
    <row r="47" spans="1:10" x14ac:dyDescent="0.45">
      <c r="H47" s="9"/>
      <c r="I47" s="5">
        <f>INDEX(MMULT($B$5:$D$7,$I$43:$I$45),2,1)+$B$10</f>
        <v>1.999484117459474</v>
      </c>
      <c r="J47" s="10"/>
    </row>
    <row r="48" spans="1:10" x14ac:dyDescent="0.45">
      <c r="H48" s="9"/>
      <c r="I48" s="5">
        <f>INDEX(MMULT($B$5:$D$7,$I$43:$I$45),3,1)+$B$11</f>
        <v>-0.99946640110172646</v>
      </c>
      <c r="J48" s="10"/>
    </row>
    <row r="49" spans="1:10" x14ac:dyDescent="0.45">
      <c r="H49" s="1" t="s">
        <v>14</v>
      </c>
      <c r="I49" s="4">
        <f>MAX(ABS(I46-I43),ABS(I47-I44),ABS(I48-I45))</f>
        <v>6.9346775117073989E-4</v>
      </c>
    </row>
    <row r="50" spans="1:10" x14ac:dyDescent="0.45">
      <c r="H50" s="1" t="s">
        <v>15</v>
      </c>
      <c r="I50" s="1" t="s">
        <v>16</v>
      </c>
    </row>
    <row r="51" spans="1:10" ht="36" customHeight="1" x14ac:dyDescent="0.45">
      <c r="H51" s="1" t="s">
        <v>17</v>
      </c>
      <c r="I51" s="7" t="s">
        <v>18</v>
      </c>
      <c r="J51" s="7"/>
    </row>
    <row r="52" spans="1:10" x14ac:dyDescent="0.45">
      <c r="A52" s="1" t="s">
        <v>20</v>
      </c>
    </row>
    <row r="55" spans="1:10" ht="240" customHeight="1" x14ac:dyDescent="0.45"/>
    <row r="71" ht="240" customHeight="1" x14ac:dyDescent="0.45"/>
    <row r="87" ht="240" customHeight="1" x14ac:dyDescent="0.45"/>
    <row r="103" ht="240" customHeight="1" x14ac:dyDescent="0.45"/>
    <row r="119" ht="240" customHeight="1" x14ac:dyDescent="0.45"/>
    <row r="135" ht="240" customHeight="1" x14ac:dyDescent="0.45"/>
    <row r="151" ht="240" customHeight="1" x14ac:dyDescent="0.45"/>
    <row r="167" ht="240" customHeight="1" x14ac:dyDescent="0.45"/>
  </sheetData>
  <mergeCells count="32">
    <mergeCell ref="H10:H12"/>
    <mergeCell ref="J10:J12"/>
    <mergeCell ref="B2:D2"/>
    <mergeCell ref="H4:H6"/>
    <mergeCell ref="J4:J6"/>
    <mergeCell ref="H7:H9"/>
    <mergeCell ref="J7:J9"/>
    <mergeCell ref="H13:H15"/>
    <mergeCell ref="J13:J15"/>
    <mergeCell ref="H16:H18"/>
    <mergeCell ref="J16:J18"/>
    <mergeCell ref="H19:H21"/>
    <mergeCell ref="J19:J21"/>
    <mergeCell ref="H22:H24"/>
    <mergeCell ref="J22:J24"/>
    <mergeCell ref="H25:H27"/>
    <mergeCell ref="J25:J27"/>
    <mergeCell ref="H28:H30"/>
    <mergeCell ref="J28:J30"/>
    <mergeCell ref="H31:H33"/>
    <mergeCell ref="J31:J33"/>
    <mergeCell ref="H34:H36"/>
    <mergeCell ref="J34:J36"/>
    <mergeCell ref="H37:H39"/>
    <mergeCell ref="J37:J39"/>
    <mergeCell ref="I51:J51"/>
    <mergeCell ref="H40:H42"/>
    <mergeCell ref="J40:J42"/>
    <mergeCell ref="H43:H45"/>
    <mergeCell ref="J43:J45"/>
    <mergeCell ref="H46:H48"/>
    <mergeCell ref="J46:J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9C49-E333-4D4D-9F7E-8A591EAB9867}">
  <dimension ref="A2:I186"/>
  <sheetViews>
    <sheetView zoomScale="54" workbookViewId="0">
      <selection activeCell="J121" sqref="J121"/>
    </sheetView>
  </sheetViews>
  <sheetFormatPr defaultRowHeight="14.25" x14ac:dyDescent="0.45"/>
  <cols>
    <col min="1" max="1" width="22.59765625" style="1" customWidth="1"/>
    <col min="2" max="2" width="18.59765625" style="1" customWidth="1"/>
    <col min="3" max="3" width="12.59765625" style="1" customWidth="1"/>
    <col min="4" max="4" width="8.59765625" style="1" customWidth="1"/>
    <col min="5" max="5" width="3.59765625" style="1" customWidth="1"/>
    <col min="6" max="6" width="4.59765625" style="1" customWidth="1"/>
    <col min="7" max="7" width="8.59765625" style="1" customWidth="1"/>
    <col min="8" max="9" width="14.59765625" style="1" customWidth="1"/>
    <col min="10" max="11" width="13.59765625" style="1" customWidth="1"/>
    <col min="12" max="16384" width="9.06640625" style="1"/>
  </cols>
  <sheetData>
    <row r="2" spans="1:9" ht="114" customHeight="1" x14ac:dyDescent="0.55000000000000004">
      <c r="B2" s="8"/>
      <c r="C2" s="8"/>
      <c r="D2" s="8"/>
      <c r="E2" s="8"/>
      <c r="G2" s="1" t="s">
        <v>1</v>
      </c>
      <c r="I2" s="1" t="s">
        <v>58</v>
      </c>
    </row>
    <row r="3" spans="1:9" x14ac:dyDescent="0.45">
      <c r="A3" s="1" t="s">
        <v>0</v>
      </c>
      <c r="G3" s="11" t="s">
        <v>3</v>
      </c>
      <c r="H3" s="11" t="s">
        <v>59</v>
      </c>
      <c r="I3" s="11" t="s">
        <v>60</v>
      </c>
    </row>
    <row r="4" spans="1:9" x14ac:dyDescent="0.45">
      <c r="G4" s="9">
        <v>0</v>
      </c>
      <c r="H4" s="5">
        <v>0</v>
      </c>
      <c r="I4" s="6"/>
    </row>
    <row r="5" spans="1:9" x14ac:dyDescent="0.45">
      <c r="A5" s="2" t="s">
        <v>28</v>
      </c>
      <c r="B5" s="1" t="s">
        <v>29</v>
      </c>
      <c r="G5" s="9"/>
      <c r="H5" s="5">
        <v>0</v>
      </c>
      <c r="I5" s="6"/>
    </row>
    <row r="6" spans="1:9" x14ac:dyDescent="0.45">
      <c r="A6" s="1" t="s">
        <v>26</v>
      </c>
      <c r="B6" s="4">
        <v>2</v>
      </c>
      <c r="G6" s="9">
        <v>1</v>
      </c>
      <c r="H6" s="5">
        <f>(H4^2+H5^2+8)/10</f>
        <v>0.8</v>
      </c>
      <c r="I6" s="5">
        <f>MAX(ABS(H6-H4),ABS(H7-H5))</f>
        <v>0.8</v>
      </c>
    </row>
    <row r="7" spans="1:9" x14ac:dyDescent="0.45">
      <c r="A7" s="1" t="s">
        <v>27</v>
      </c>
      <c r="B7" s="4">
        <v>3</v>
      </c>
      <c r="G7" s="9"/>
      <c r="H7" s="5">
        <f>(H4*H5^2+H4+8)/10</f>
        <v>0.8</v>
      </c>
      <c r="I7" s="5"/>
    </row>
    <row r="8" spans="1:9" x14ac:dyDescent="0.45">
      <c r="G8" s="9">
        <v>2</v>
      </c>
      <c r="H8" s="5">
        <f>(H6^2+H7^2+8)/10</f>
        <v>0.92800000000000016</v>
      </c>
      <c r="I8" s="5">
        <f>MAX(ABS(H8-H6),ABS(H9-H7))</f>
        <v>0.13120000000000009</v>
      </c>
    </row>
    <row r="9" spans="1:9" x14ac:dyDescent="0.45">
      <c r="A9" s="2" t="s">
        <v>30</v>
      </c>
      <c r="G9" s="9"/>
      <c r="H9" s="5">
        <f>(H6*H7^2+H6+8)/10</f>
        <v>0.93120000000000014</v>
      </c>
      <c r="I9" s="5"/>
    </row>
    <row r="10" spans="1:9" x14ac:dyDescent="0.45">
      <c r="A10" s="1" t="s">
        <v>31</v>
      </c>
      <c r="G10" s="9">
        <v>3</v>
      </c>
      <c r="H10" s="5">
        <f>(H8^2+H9^2+8)/10</f>
        <v>0.97283174400000016</v>
      </c>
      <c r="I10" s="5">
        <f>MAX(ABS(H10-H8),ABS(H11-H9))</f>
        <v>4.4831744000000007E-2</v>
      </c>
    </row>
    <row r="11" spans="1:9" x14ac:dyDescent="0.45">
      <c r="A11" s="1" t="s">
        <v>22</v>
      </c>
      <c r="B11" s="1" t="s">
        <v>23</v>
      </c>
      <c r="G11" s="9"/>
      <c r="H11" s="5">
        <f>(H8*H9^2+H8+8)/10</f>
        <v>0.9732699832320002</v>
      </c>
      <c r="I11" s="5"/>
    </row>
    <row r="12" spans="1:9" x14ac:dyDescent="0.45">
      <c r="A12" s="1" t="s">
        <v>32</v>
      </c>
      <c r="G12" s="9">
        <v>4</v>
      </c>
      <c r="H12" s="5">
        <f>(H10^2+H11^2+8)/10</f>
        <v>0.98936560623945002</v>
      </c>
      <c r="I12" s="5">
        <f>MAX(ABS(H12-H10),ABS(H13-H11))</f>
        <v>1.6533862239449859E-2</v>
      </c>
    </row>
    <row r="13" spans="1:9" x14ac:dyDescent="0.45">
      <c r="A13" s="1" t="s">
        <v>24</v>
      </c>
      <c r="B13" s="1" t="s">
        <v>25</v>
      </c>
      <c r="G13" s="9"/>
      <c r="H13" s="5">
        <f>(H10*H11^2+H10+8)/10</f>
        <v>0.98943509525869222</v>
      </c>
      <c r="I13" s="5"/>
    </row>
    <row r="14" spans="1:9" x14ac:dyDescent="0.45">
      <c r="A14" s="1" t="s">
        <v>33</v>
      </c>
      <c r="B14" s="1" t="s">
        <v>34</v>
      </c>
      <c r="C14" s="4">
        <f>B6/5</f>
        <v>0.4</v>
      </c>
      <c r="G14" s="9">
        <v>5</v>
      </c>
      <c r="H14" s="5">
        <f>(H12^2+H13^2+8)/10</f>
        <v>0.99578261105391319</v>
      </c>
      <c r="I14" s="5">
        <f>MAX(ABS(H14-H12),ABS(H15-H13))</f>
        <v>6.4170048144631675E-3</v>
      </c>
    </row>
    <row r="15" spans="1:9" ht="36" customHeight="1" x14ac:dyDescent="0.45">
      <c r="A15" s="1" t="s">
        <v>35</v>
      </c>
      <c r="B15" s="1" t="s">
        <v>36</v>
      </c>
      <c r="C15" s="4">
        <f>B7/5</f>
        <v>0.6</v>
      </c>
      <c r="G15" s="9"/>
      <c r="H15" s="5">
        <f>(H12*H13^2+H12+8)/10</f>
        <v>0.99579365359412153</v>
      </c>
      <c r="I15" s="5"/>
    </row>
    <row r="16" spans="1:9" x14ac:dyDescent="0.45">
      <c r="A16" s="1" t="s">
        <v>37</v>
      </c>
      <c r="B16" s="1" t="s">
        <v>38</v>
      </c>
      <c r="C16" s="4">
        <f>(B7^2+1)/10</f>
        <v>1</v>
      </c>
      <c r="G16" s="9">
        <v>6</v>
      </c>
      <c r="H16" s="5">
        <f>(H14^2+H15^2+8)/10</f>
        <v>0.99831880090156777</v>
      </c>
      <c r="I16" s="5">
        <f>MAX(ABS(H16-H14),ABS(H17-H15))</f>
        <v>2.5361898476545797E-3</v>
      </c>
    </row>
    <row r="17" spans="1:9" x14ac:dyDescent="0.45">
      <c r="A17" s="1" t="s">
        <v>39</v>
      </c>
      <c r="B17" s="1" t="s">
        <v>40</v>
      </c>
      <c r="C17" s="4">
        <f>B7*B6/5</f>
        <v>1.2</v>
      </c>
      <c r="G17" s="9"/>
      <c r="H17" s="5">
        <f>(H14*H15^2+H14+8)/10</f>
        <v>0.99832056276240877</v>
      </c>
      <c r="I17" s="5"/>
    </row>
    <row r="18" spans="1:9" ht="40.049999999999997" customHeight="1" x14ac:dyDescent="0.45">
      <c r="A18" s="1" t="s">
        <v>41</v>
      </c>
      <c r="C18" s="4">
        <f>ABS(C14)+ABS(C16)</f>
        <v>1.4</v>
      </c>
      <c r="D18" s="1" t="str">
        <f>IF(C18&lt;1,"si","no")</f>
        <v>no</v>
      </c>
      <c r="G18" s="9">
        <v>7</v>
      </c>
      <c r="H18" s="5">
        <f>(H16^2+H17^2+8)/10</f>
        <v>0.99932843742677968</v>
      </c>
      <c r="I18" s="5">
        <f>MAX(ABS(H18-H16),ABS(H19-H17))</f>
        <v>1.0096365252119099E-3</v>
      </c>
    </row>
    <row r="19" spans="1:9" x14ac:dyDescent="0.45">
      <c r="A19" s="1" t="s">
        <v>42</v>
      </c>
      <c r="C19" s="4">
        <f>ABS(C15)+ABS(C17)</f>
        <v>1.7999999999999998</v>
      </c>
      <c r="D19" s="1" t="str">
        <f>IF(C19&lt;1,"si","no")</f>
        <v>no</v>
      </c>
      <c r="G19" s="9"/>
      <c r="H19" s="5">
        <f>(H16*H17^2+H16+8)/10</f>
        <v>0.99932871900322895</v>
      </c>
      <c r="I19" s="5"/>
    </row>
    <row r="20" spans="1:9" x14ac:dyDescent="0.45">
      <c r="A20" s="1" t="s">
        <v>43</v>
      </c>
      <c r="C20" s="1" t="str">
        <f>IF(AND(C18&lt;1,C19&lt;1),"si","no")</f>
        <v>no</v>
      </c>
      <c r="G20" s="9">
        <v>8</v>
      </c>
      <c r="H20" s="5">
        <f>(H18^2+H19^2+8)/10</f>
        <v>0.99973152144744826</v>
      </c>
      <c r="I20" s="5">
        <f>MAX(ABS(H20-H18),ABS(H21-H19))</f>
        <v>4.0308402066857596E-4</v>
      </c>
    </row>
    <row r="21" spans="1:9" x14ac:dyDescent="0.45">
      <c r="G21" s="9"/>
      <c r="H21" s="5">
        <f>(H18*H19^2+H18+8)/10</f>
        <v>0.99973156647899619</v>
      </c>
      <c r="I21" s="5"/>
    </row>
    <row r="22" spans="1:9" ht="42" customHeight="1" x14ac:dyDescent="0.45">
      <c r="A22" s="2" t="s">
        <v>44</v>
      </c>
    </row>
    <row r="23" spans="1:9" x14ac:dyDescent="0.45">
      <c r="A23" s="1" t="s">
        <v>45</v>
      </c>
    </row>
    <row r="24" spans="1:9" ht="40.049999999999997" customHeight="1" x14ac:dyDescent="0.45">
      <c r="A24" s="1" t="s">
        <v>22</v>
      </c>
      <c r="B24" s="1" t="s">
        <v>46</v>
      </c>
      <c r="H24" s="7"/>
      <c r="I24" s="7"/>
    </row>
    <row r="25" spans="1:9" x14ac:dyDescent="0.45">
      <c r="A25" s="1" t="s">
        <v>47</v>
      </c>
    </row>
    <row r="26" spans="1:9" x14ac:dyDescent="0.45">
      <c r="A26" s="1" t="s">
        <v>24</v>
      </c>
      <c r="B26" s="1" t="s">
        <v>48</v>
      </c>
    </row>
    <row r="27" spans="1:9" x14ac:dyDescent="0.45">
      <c r="A27" s="1" t="s">
        <v>33</v>
      </c>
      <c r="C27" s="4">
        <f>(8+B7^2)/(B6-10)^2</f>
        <v>0.265625</v>
      </c>
    </row>
    <row r="28" spans="1:9" x14ac:dyDescent="0.45">
      <c r="A28" s="1" t="s">
        <v>35</v>
      </c>
      <c r="C28" s="4">
        <f>(-2*B7)/(B6-10)</f>
        <v>0.75</v>
      </c>
    </row>
    <row r="29" spans="1:9" x14ac:dyDescent="0.45">
      <c r="A29" s="1" t="s">
        <v>37</v>
      </c>
      <c r="C29" s="4">
        <f>(10+8*B7)/(B6*B7-10)^2</f>
        <v>2.125</v>
      </c>
    </row>
    <row r="30" spans="1:9" x14ac:dyDescent="0.45">
      <c r="A30" s="1" t="s">
        <v>39</v>
      </c>
      <c r="C30" s="4">
        <f>B6*(8+B6)/(B6*B7-10)^2</f>
        <v>1.25</v>
      </c>
    </row>
    <row r="31" spans="1:9" x14ac:dyDescent="0.45">
      <c r="A31" s="1" t="s">
        <v>41</v>
      </c>
      <c r="C31" s="4">
        <f>ABS(C27)+ABS(C29)</f>
        <v>2.390625</v>
      </c>
      <c r="D31" s="1" t="str">
        <f>IF(C31&lt;1,"si","no")</f>
        <v>no</v>
      </c>
    </row>
    <row r="32" spans="1:9" x14ac:dyDescent="0.45">
      <c r="A32" s="1" t="s">
        <v>42</v>
      </c>
      <c r="C32" s="4">
        <f>ABS(C28)+ABS(C30)</f>
        <v>2</v>
      </c>
      <c r="D32" s="1" t="str">
        <f>IF(C32&lt;1,"si","no")</f>
        <v>no</v>
      </c>
    </row>
    <row r="33" spans="1:4" x14ac:dyDescent="0.45">
      <c r="A33" s="1" t="s">
        <v>43</v>
      </c>
      <c r="C33" s="1" t="str">
        <f>IF(AND(C31&lt;1,C32&lt;1),"si","no")</f>
        <v>no</v>
      </c>
    </row>
    <row r="35" spans="1:4" x14ac:dyDescent="0.45">
      <c r="A35" s="2" t="s">
        <v>49</v>
      </c>
    </row>
    <row r="36" spans="1:4" x14ac:dyDescent="0.45">
      <c r="A36" s="1" t="s">
        <v>50</v>
      </c>
    </row>
    <row r="37" spans="1:4" x14ac:dyDescent="0.45">
      <c r="A37" s="1" t="s">
        <v>22</v>
      </c>
      <c r="B37" s="1" t="s">
        <v>51</v>
      </c>
    </row>
    <row r="38" spans="1:4" x14ac:dyDescent="0.45">
      <c r="A38" s="1" t="s">
        <v>52</v>
      </c>
    </row>
    <row r="39" spans="1:4" x14ac:dyDescent="0.45">
      <c r="A39" s="1" t="s">
        <v>24</v>
      </c>
      <c r="B39" s="1" t="s">
        <v>53</v>
      </c>
    </row>
    <row r="40" spans="1:4" x14ac:dyDescent="0.45">
      <c r="A40" s="1" t="s">
        <v>33</v>
      </c>
      <c r="C40" s="4">
        <v>0</v>
      </c>
    </row>
    <row r="41" spans="1:4" x14ac:dyDescent="0.45">
      <c r="A41" s="1" t="s">
        <v>35</v>
      </c>
      <c r="C41" s="4">
        <f>(-10*B7*B7+16*B7+10)/((B7*B7+1)*(B7*B7+1))</f>
        <v>-0.32</v>
      </c>
    </row>
    <row r="42" spans="1:4" x14ac:dyDescent="0.45">
      <c r="A42" s="1" t="s">
        <v>37</v>
      </c>
      <c r="C42" s="4">
        <f>(5-B6)/SQRT(10*B6-B6*B6-8)</f>
        <v>1.0606601717798212</v>
      </c>
    </row>
    <row r="43" spans="1:4" x14ac:dyDescent="0.45">
      <c r="A43" s="1" t="s">
        <v>39</v>
      </c>
      <c r="C43" s="4">
        <v>0</v>
      </c>
    </row>
    <row r="44" spans="1:4" ht="49.15" customHeight="1" x14ac:dyDescent="0.45">
      <c r="A44" s="1" t="s">
        <v>41</v>
      </c>
      <c r="C44" s="4">
        <f>ABS(C40)+ABS(C42)</f>
        <v>1.0606601717798212</v>
      </c>
      <c r="D44" s="1" t="str">
        <f>IF(C44&lt;1,"si","no")</f>
        <v>no</v>
      </c>
    </row>
    <row r="45" spans="1:4" x14ac:dyDescent="0.45">
      <c r="A45" s="1" t="s">
        <v>42</v>
      </c>
      <c r="C45" s="4">
        <f>ABS(C41)+ABS(C43)</f>
        <v>0.32</v>
      </c>
      <c r="D45" s="1" t="str">
        <f>IF(C45&lt;1,"si","no")</f>
        <v>si</v>
      </c>
    </row>
    <row r="46" spans="1:4" x14ac:dyDescent="0.45">
      <c r="A46" s="1" t="s">
        <v>43</v>
      </c>
      <c r="C46" s="1" t="str">
        <f>IF(AND(C44&lt;1,C45&lt;1),"si","no")</f>
        <v>no</v>
      </c>
    </row>
    <row r="48" spans="1:4" x14ac:dyDescent="0.45">
      <c r="A48" s="2" t="s">
        <v>54</v>
      </c>
      <c r="B48" s="1" t="s">
        <v>55</v>
      </c>
    </row>
    <row r="49" spans="1:4" x14ac:dyDescent="0.45">
      <c r="A49" s="1" t="s">
        <v>56</v>
      </c>
    </row>
    <row r="50" spans="1:4" ht="49.9" customHeight="1" x14ac:dyDescent="0.45">
      <c r="A50" s="1" t="s">
        <v>33</v>
      </c>
      <c r="C50" s="4">
        <f>0/5</f>
        <v>0</v>
      </c>
    </row>
    <row r="51" spans="1:4" x14ac:dyDescent="0.45">
      <c r="A51" s="1" t="s">
        <v>35</v>
      </c>
      <c r="C51" s="4">
        <f>0/5</f>
        <v>0</v>
      </c>
    </row>
    <row r="52" spans="1:4" x14ac:dyDescent="0.45">
      <c r="A52" s="1" t="s">
        <v>37</v>
      </c>
      <c r="C52" s="4">
        <f>(0^2+1)/10</f>
        <v>0.1</v>
      </c>
    </row>
    <row r="53" spans="1:4" x14ac:dyDescent="0.45">
      <c r="A53" s="1" t="s">
        <v>39</v>
      </c>
      <c r="C53" s="4">
        <f>0*0/5</f>
        <v>0</v>
      </c>
    </row>
    <row r="54" spans="1:4" ht="19.149999999999999" customHeight="1" x14ac:dyDescent="0.45">
      <c r="A54" s="1" t="s">
        <v>41</v>
      </c>
      <c r="C54" s="4">
        <f>ABS(C50)+ABS(C52)</f>
        <v>0.1</v>
      </c>
      <c r="D54" s="1" t="str">
        <f>IF(C54&lt;1,"si","no")</f>
        <v>si</v>
      </c>
    </row>
    <row r="55" spans="1:4" ht="25.5" customHeight="1" x14ac:dyDescent="0.45">
      <c r="A55" s="1" t="s">
        <v>42</v>
      </c>
      <c r="C55" s="4">
        <f>ABS(C51)+ABS(C53)</f>
        <v>0</v>
      </c>
      <c r="D55" s="1" t="str">
        <f>IF(C55&lt;1,"si","no")</f>
        <v>si</v>
      </c>
    </row>
    <row r="56" spans="1:4" ht="24.4" customHeight="1" x14ac:dyDescent="0.45">
      <c r="A56" s="1" t="s">
        <v>43</v>
      </c>
      <c r="C56" s="1" t="str">
        <f>IF(AND(C54&lt;1,C55&lt;1),"si","no")</f>
        <v>si</v>
      </c>
    </row>
    <row r="57" spans="1:4" ht="19.5" customHeight="1" x14ac:dyDescent="0.45">
      <c r="A57" s="1" t="s">
        <v>57</v>
      </c>
    </row>
    <row r="58" spans="1:4" ht="18.75" customHeight="1" x14ac:dyDescent="0.45"/>
    <row r="59" spans="1:4" ht="40.15" customHeight="1" x14ac:dyDescent="0.45">
      <c r="A59" s="2"/>
    </row>
    <row r="60" spans="1:4" ht="33.4" customHeight="1" x14ac:dyDescent="0.45"/>
    <row r="61" spans="1:4" ht="4.1500000000000004" customHeight="1" x14ac:dyDescent="0.45"/>
    <row r="62" spans="1:4" hidden="1" x14ac:dyDescent="0.45"/>
    <row r="63" spans="1:4" ht="24" hidden="1" customHeight="1" x14ac:dyDescent="0.45"/>
    <row r="64" spans="1:4" hidden="1" x14ac:dyDescent="0.45"/>
    <row r="65" spans="1:1" hidden="1" x14ac:dyDescent="0.45"/>
    <row r="66" spans="1:1" hidden="1" x14ac:dyDescent="0.45"/>
    <row r="67" spans="1:1" hidden="1" x14ac:dyDescent="0.45"/>
    <row r="68" spans="1:1" hidden="1" x14ac:dyDescent="0.45"/>
    <row r="69" spans="1:1" hidden="1" x14ac:dyDescent="0.45"/>
    <row r="72" spans="1:1" ht="280.05" customHeight="1" x14ac:dyDescent="0.45"/>
    <row r="76" spans="1:1" ht="0.4" customHeight="1" x14ac:dyDescent="0.45"/>
    <row r="77" spans="1:1" hidden="1" x14ac:dyDescent="0.45"/>
    <row r="78" spans="1:1" hidden="1" x14ac:dyDescent="0.45"/>
    <row r="79" spans="1:1" hidden="1" x14ac:dyDescent="0.45"/>
    <row r="80" spans="1:1" hidden="1" x14ac:dyDescent="0.45">
      <c r="A80" s="2" t="s">
        <v>61</v>
      </c>
    </row>
    <row r="81" spans="1:1" ht="25.5" hidden="1" customHeight="1" x14ac:dyDescent="0.45">
      <c r="A81" s="1" t="s">
        <v>62</v>
      </c>
    </row>
    <row r="82" spans="1:1" ht="280.05" customHeight="1" x14ac:dyDescent="0.45"/>
    <row r="83" spans="1:1" hidden="1" x14ac:dyDescent="0.45"/>
    <row r="84" spans="1:1" hidden="1" x14ac:dyDescent="0.45"/>
    <row r="85" spans="1:1" hidden="1" x14ac:dyDescent="0.45"/>
    <row r="86" spans="1:1" hidden="1" x14ac:dyDescent="0.45"/>
    <row r="87" spans="1:1" hidden="1" x14ac:dyDescent="0.45"/>
    <row r="88" spans="1:1" hidden="1" x14ac:dyDescent="0.45"/>
    <row r="89" spans="1:1" hidden="1" x14ac:dyDescent="0.45"/>
    <row r="91" spans="1:1" ht="280.05" customHeight="1" x14ac:dyDescent="0.45"/>
    <row r="99" ht="12" customHeight="1" x14ac:dyDescent="0.45"/>
    <row r="101" ht="280.05" customHeight="1" x14ac:dyDescent="0.45"/>
    <row r="110" ht="24.4" customHeight="1" x14ac:dyDescent="0.45"/>
    <row r="111" hidden="1" x14ac:dyDescent="0.45"/>
    <row r="120" ht="37.15" customHeight="1" x14ac:dyDescent="0.45"/>
    <row r="129" ht="31.9" customHeight="1" x14ac:dyDescent="0.45"/>
    <row r="139" ht="18.399999999999999" customHeight="1" x14ac:dyDescent="0.45"/>
    <row r="148" ht="30.4" customHeight="1" x14ac:dyDescent="0.45"/>
    <row r="158" ht="27" customHeight="1" x14ac:dyDescent="0.45"/>
    <row r="167" ht="25.5" customHeight="1" x14ac:dyDescent="0.45"/>
    <row r="177" ht="22.15" customHeight="1" x14ac:dyDescent="0.45"/>
    <row r="186" ht="22.9" customHeight="1" x14ac:dyDescent="0.45"/>
  </sheetData>
  <mergeCells count="11">
    <mergeCell ref="G20:G21"/>
    <mergeCell ref="H24:I24"/>
    <mergeCell ref="B2:E2"/>
    <mergeCell ref="G4:G5"/>
    <mergeCell ref="G6:G7"/>
    <mergeCell ref="G8:G9"/>
    <mergeCell ref="G10:G11"/>
    <mergeCell ref="G12:G13"/>
    <mergeCell ref="G14:G15"/>
    <mergeCell ref="G16:G17"/>
    <mergeCell ref="G18:G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CBE4-AFBA-4DCC-ABBA-B4A3290EB7BA}">
  <dimension ref="A2:I101"/>
  <sheetViews>
    <sheetView tabSelected="1" zoomScale="70" workbookViewId="0">
      <selection activeCell="C434" sqref="C434"/>
    </sheetView>
  </sheetViews>
  <sheetFormatPr defaultRowHeight="14.25" x14ac:dyDescent="0.45"/>
  <cols>
    <col min="1" max="2" width="16.59765625" style="1" customWidth="1"/>
    <col min="3" max="4" width="14.59765625" style="1" customWidth="1"/>
    <col min="5" max="6" width="4.59765625" style="1" customWidth="1"/>
    <col min="7" max="7" width="8.59765625" style="1" customWidth="1"/>
    <col min="8" max="9" width="14.59765625" style="1" customWidth="1"/>
    <col min="10" max="16384" width="9.06640625" style="1"/>
  </cols>
  <sheetData>
    <row r="2" spans="1:9" ht="79.150000000000006" customHeight="1" x14ac:dyDescent="0.55000000000000004">
      <c r="B2" s="8"/>
      <c r="C2" s="8"/>
      <c r="D2" s="8"/>
      <c r="G2" s="1" t="s">
        <v>1</v>
      </c>
      <c r="I2" s="1" t="s">
        <v>58</v>
      </c>
    </row>
    <row r="3" spans="1:9" x14ac:dyDescent="0.45">
      <c r="G3" s="11" t="s">
        <v>3</v>
      </c>
      <c r="H3" s="11" t="s">
        <v>59</v>
      </c>
      <c r="I3" s="11" t="s">
        <v>60</v>
      </c>
    </row>
    <row r="4" spans="1:9" x14ac:dyDescent="0.45">
      <c r="G4" s="9">
        <v>0</v>
      </c>
      <c r="H4" s="5">
        <f>B5</f>
        <v>0</v>
      </c>
      <c r="I4" s="6"/>
    </row>
    <row r="5" spans="1:9" x14ac:dyDescent="0.45">
      <c r="A5" s="1" t="s">
        <v>26</v>
      </c>
      <c r="B5" s="4">
        <v>0</v>
      </c>
      <c r="G5" s="9"/>
      <c r="H5" s="5">
        <f>B6</f>
        <v>0</v>
      </c>
      <c r="I5" s="6"/>
    </row>
    <row r="6" spans="1:9" x14ac:dyDescent="0.45">
      <c r="A6" s="1" t="s">
        <v>27</v>
      </c>
      <c r="B6" s="4">
        <v>0</v>
      </c>
      <c r="G6" s="9">
        <v>1</v>
      </c>
      <c r="H6" s="5">
        <f>H4-((2*H4*H5-10)*(H4*H4-10*H4+H5*H5+8)-(2*H5)*(H4*H5*H5+H4-10*H5+8))/((2*H4-10)*(2*H4*H5-10)-(2*H5)*(H5*H5+1))</f>
        <v>0.8</v>
      </c>
      <c r="I6" s="5">
        <f>MAX(ABS(H6-H4),ABS(H7-H5))</f>
        <v>0.88</v>
      </c>
    </row>
    <row r="7" spans="1:9" x14ac:dyDescent="0.45">
      <c r="G7" s="9"/>
      <c r="H7" s="5">
        <f>H5-(-(H5*H5+1)*(H4*H4-10*H4+H5*H5+8)+(2*H4-10)*(H4*H5*H5+H4-10*H5+8))/((2*H4-10)*(2*H4*H5-10)-(2*H5)*(H5*H5+1))</f>
        <v>0.88</v>
      </c>
      <c r="I7" s="5"/>
    </row>
    <row r="8" spans="1:9" x14ac:dyDescent="0.45">
      <c r="A8" s="2" t="s">
        <v>63</v>
      </c>
      <c r="G8" s="9">
        <v>2</v>
      </c>
      <c r="H8" s="5">
        <f>H6-((2*H6*H7-10)*(H6*H6-10*H6+H7*H7+8)-(2*H7)*(H6*H7*H7+H6-10*H7+8))/((2*H6-10)*(2*H6*H7-10)-(2*H7)*(H7*H7+1))</f>
        <v>0.99178722110586315</v>
      </c>
      <c r="I8" s="5">
        <f>MAX(ABS(H8-H6),ABS(H9-H7))</f>
        <v>0.1917872211058631</v>
      </c>
    </row>
    <row r="9" spans="1:9" x14ac:dyDescent="0.45">
      <c r="A9" s="1" t="s">
        <v>64</v>
      </c>
      <c r="B9" s="5">
        <f>B5*B5-10*B5+B6*B6+8</f>
        <v>8</v>
      </c>
      <c r="G9" s="9"/>
      <c r="H9" s="5">
        <f>H7-(-(H7*H7+1)*(H6*H6-10*H6+H7*H7+8)+(2*H6-10)*(H6*H7*H7+H6-10*H7+8))/((2*H6-10)*(2*H6*H7-10)-(2*H7)*(H7*H7+1))</f>
        <v>0.99171173709616423</v>
      </c>
      <c r="I9" s="5"/>
    </row>
    <row r="10" spans="1:9" x14ac:dyDescent="0.45">
      <c r="A10" s="1" t="s">
        <v>65</v>
      </c>
      <c r="B10" s="5">
        <f>B5*B6*B6+B5-10*B6+8</f>
        <v>8</v>
      </c>
      <c r="G10" s="9">
        <v>3</v>
      </c>
      <c r="H10" s="5">
        <f>H8-((2*H8*H9-10)*(H8*H8-10*H8+H9*H9+8)-(2*H9)*(H8*H9*H9+H8-10*H9+8))/((2*H8-10)*(2*H8*H9-10)-(2*H9)*(H9*H9+1))</f>
        <v>0.99997522904933067</v>
      </c>
      <c r="I10" s="5">
        <f>MAX(ABS(H10-H8),ABS(H11-H9))</f>
        <v>8.2567873043372098E-3</v>
      </c>
    </row>
    <row r="11" spans="1:9" x14ac:dyDescent="0.45">
      <c r="G11" s="9"/>
      <c r="H11" s="5">
        <f>H9-(-(H9*H9+1)*(H8*H8-10*H8+H9*H9+8)+(2*H8-10)*(H8*H9*H9+H8-10*H9+8))/((2*H8-10)*(2*H8*H9-10)-(2*H9)*(H9*H9+1))</f>
        <v>0.99996852440050144</v>
      </c>
      <c r="I11" s="5"/>
    </row>
    <row r="12" spans="1:9" x14ac:dyDescent="0.45">
      <c r="A12" s="2" t="s">
        <v>66</v>
      </c>
      <c r="B12" s="1" t="s">
        <v>67</v>
      </c>
      <c r="C12" s="1" t="s">
        <v>68</v>
      </c>
      <c r="G12" s="9">
        <v>4</v>
      </c>
      <c r="H12" s="5">
        <f>H10-((2*H10*H11-10)*(H10*H10-10*H10+H11*H11+8)-(2*H11)*(H10*H11*H11+H10-10*H11+8))/((2*H10-10)*(2*H10*H11-10)-(2*H11)*(H11*H11+1))</f>
        <v>0.9999999997010981</v>
      </c>
      <c r="I12" s="5">
        <f>MAX(ABS(H12-H10),ABS(H13-H11))</f>
        <v>3.1475206027753444E-5</v>
      </c>
    </row>
    <row r="13" spans="1:9" x14ac:dyDescent="0.45">
      <c r="B13" s="5">
        <f>2*B5-10</f>
        <v>-10</v>
      </c>
      <c r="C13" s="5">
        <f>2*B6</f>
        <v>0</v>
      </c>
      <c r="G13" s="9"/>
      <c r="H13" s="5">
        <f>H11-(-(H11*H11+1)*(H10*H10-10*H10+H11*H11+8)+(2*H10-10)*(H10*H11*H11+H10-10*H11+8))/((2*H10-10)*(2*H10*H11-10)-(2*H11)*(H11*H11+1))</f>
        <v>0.99999999960652919</v>
      </c>
      <c r="I13" s="5"/>
    </row>
    <row r="14" spans="1:9" x14ac:dyDescent="0.45">
      <c r="B14" s="5">
        <f>B6*B6+1</f>
        <v>1</v>
      </c>
      <c r="C14" s="5">
        <f>2*B5*B6-10</f>
        <v>-10</v>
      </c>
    </row>
    <row r="16" spans="1:9" ht="36" customHeight="1" x14ac:dyDescent="0.45">
      <c r="A16" s="2" t="s">
        <v>69</v>
      </c>
      <c r="H16" s="7"/>
      <c r="I16" s="7"/>
    </row>
    <row r="17" spans="1:3" x14ac:dyDescent="0.45">
      <c r="B17" s="5">
        <f>INDEX(MINVERSE(B13:C14),1,1)</f>
        <v>-0.1</v>
      </c>
      <c r="C17" s="5">
        <f>INDEX(MINVERSE(B13:C14),1,2)</f>
        <v>0</v>
      </c>
    </row>
    <row r="18" spans="1:3" x14ac:dyDescent="0.45">
      <c r="B18" s="5">
        <f>INDEX(MINVERSE(B13:C14),2,1)</f>
        <v>-0.01</v>
      </c>
      <c r="C18" s="5">
        <f>INDEX(MINVERSE(B13:C14),2,2)</f>
        <v>-0.1</v>
      </c>
    </row>
    <row r="20" spans="1:3" x14ac:dyDescent="0.45">
      <c r="A20" s="2" t="s">
        <v>70</v>
      </c>
    </row>
    <row r="21" spans="1:3" x14ac:dyDescent="0.45">
      <c r="A21" s="1" t="s">
        <v>71</v>
      </c>
      <c r="B21" s="5">
        <f>B5-INDEX(MMULT(MINVERSE(B13:C14),B9:B10),1,1)</f>
        <v>0.8</v>
      </c>
    </row>
    <row r="22" spans="1:3" x14ac:dyDescent="0.45">
      <c r="A22" s="1" t="s">
        <v>72</v>
      </c>
      <c r="B22" s="5">
        <f>B6-INDEX(MMULT(MINVERSE(B13:C14),B9:B10),2,1)</f>
        <v>0.88</v>
      </c>
    </row>
    <row r="24" spans="1:3" x14ac:dyDescent="0.45">
      <c r="A24" s="2" t="s">
        <v>76</v>
      </c>
    </row>
    <row r="25" spans="1:3" x14ac:dyDescent="0.45">
      <c r="A25" s="1" t="s">
        <v>73</v>
      </c>
    </row>
    <row r="26" spans="1:3" ht="19.5" customHeight="1" x14ac:dyDescent="0.45"/>
    <row r="44" spans="1:1" ht="26.75" customHeight="1" x14ac:dyDescent="0.45">
      <c r="A44" s="1" t="s">
        <v>74</v>
      </c>
    </row>
    <row r="45" spans="1:1" ht="280.05" customHeight="1" x14ac:dyDescent="0.45"/>
    <row r="63" spans="1:1" x14ac:dyDescent="0.45">
      <c r="A63" s="1" t="s">
        <v>75</v>
      </c>
    </row>
    <row r="64" spans="1:1" ht="27.4" customHeight="1" x14ac:dyDescent="0.45"/>
    <row r="82" ht="18.399999999999999" customHeight="1" x14ac:dyDescent="0.45"/>
    <row r="83" ht="19.899999999999999" customHeight="1" x14ac:dyDescent="0.45"/>
    <row r="101" ht="28.5" customHeight="1" x14ac:dyDescent="0.45"/>
  </sheetData>
  <mergeCells count="7">
    <mergeCell ref="H16:I16"/>
    <mergeCell ref="B2:D2"/>
    <mergeCell ref="G4:G5"/>
    <mergeCell ref="G6:G7"/>
    <mergeCell ref="G8:G9"/>
    <mergeCell ref="G10:G11"/>
    <mergeCell ref="G12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Seidel</vt:lpstr>
      <vt:lpstr>punto fijo</vt:lpstr>
      <vt:lpstr>newton raphson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2026-09-28T13:08:25Z</dcterms:created>
  <dcterms:modified xsi:type="dcterms:W3CDTF">2026-09-30T19:43:56Z</dcterms:modified>
</cp:coreProperties>
</file>