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en\Downloads\metodo numerico 6to\"/>
    </mc:Choice>
  </mc:AlternateContent>
  <xr:revisionPtr revIDLastSave="0" documentId="13_ncr:1_{29D08E24-BF38-47B2-8FA0-B8FEF447535F}" xr6:coauthVersionLast="47" xr6:coauthVersionMax="47" xr10:uidLastSave="{00000000-0000-0000-0000-000000000000}"/>
  <bookViews>
    <workbookView xWindow="-98" yWindow="-98" windowWidth="19396" windowHeight="11475" activeTab="3" xr2:uid="{3A44C4FC-912E-4F92-B731-9C97E437C2C8}"/>
  </bookViews>
  <sheets>
    <sheet name="Ejemplo 1" sheetId="1" r:id="rId1"/>
    <sheet name="Ejemplo 2" sheetId="2" r:id="rId2"/>
    <sheet name="newton" sheetId="3" r:id="rId3"/>
    <sheet name="ejercicio4.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0" i="4" l="1"/>
  <c r="B49" i="4"/>
  <c r="B48" i="4"/>
  <c r="B47" i="4"/>
  <c r="B46" i="4"/>
  <c r="B37" i="4"/>
  <c r="B36" i="4"/>
  <c r="B35" i="4"/>
  <c r="B34" i="4"/>
  <c r="B33" i="4"/>
  <c r="D32" i="4"/>
  <c r="B32" i="4"/>
  <c r="D31" i="4"/>
  <c r="B31" i="4"/>
  <c r="D30" i="4"/>
  <c r="B30" i="4"/>
  <c r="B27" i="4"/>
  <c r="B23" i="4"/>
  <c r="J14" i="4"/>
  <c r="H15" i="4"/>
  <c r="H14" i="4"/>
  <c r="F16" i="4"/>
  <c r="F15" i="4"/>
  <c r="F14" i="4"/>
  <c r="D17" i="4"/>
  <c r="B17" i="4"/>
  <c r="A17" i="4"/>
  <c r="D16" i="4"/>
  <c r="B16" i="4"/>
  <c r="A16" i="4"/>
  <c r="D15" i="4"/>
  <c r="B15" i="4"/>
  <c r="A15" i="4"/>
  <c r="D14" i="4"/>
  <c r="B14" i="4"/>
  <c r="A14" i="4"/>
  <c r="B25" i="3"/>
  <c r="B23" i="3"/>
  <c r="B21" i="3"/>
  <c r="B17" i="3"/>
  <c r="B16" i="3"/>
  <c r="B15" i="3"/>
  <c r="B14" i="3"/>
  <c r="L5" i="3"/>
  <c r="J6" i="3"/>
  <c r="J5" i="3"/>
  <c r="H7" i="3"/>
  <c r="H6" i="3"/>
  <c r="H5" i="3"/>
  <c r="F8" i="3"/>
  <c r="F7" i="3"/>
  <c r="F6" i="3"/>
  <c r="F5" i="3"/>
  <c r="P22" i="2"/>
  <c r="P20" i="2"/>
  <c r="P18" i="2"/>
  <c r="P16" i="2"/>
  <c r="P14" i="2"/>
  <c r="Q10" i="2"/>
  <c r="O10" i="2"/>
  <c r="Q9" i="2"/>
  <c r="O9" i="2"/>
  <c r="Q8" i="2"/>
  <c r="O8" i="2"/>
  <c r="Q7" i="2"/>
  <c r="O7" i="2"/>
  <c r="K23" i="2"/>
  <c r="K21" i="2"/>
  <c r="K18" i="2"/>
  <c r="K15" i="2"/>
  <c r="L9" i="2"/>
  <c r="J9" i="2"/>
  <c r="L8" i="2"/>
  <c r="J8" i="2"/>
  <c r="L7" i="2"/>
  <c r="J7" i="2"/>
  <c r="F18" i="2"/>
  <c r="F16" i="2"/>
  <c r="F13" i="2"/>
  <c r="G8" i="2"/>
  <c r="E8" i="2"/>
  <c r="G7" i="2"/>
  <c r="E7" i="2"/>
  <c r="P5" i="2"/>
  <c r="K5" i="2"/>
</calcChain>
</file>

<file path=xl/sharedStrings.xml><?xml version="1.0" encoding="utf-8"?>
<sst xmlns="http://schemas.openxmlformats.org/spreadsheetml/2006/main" count="167" uniqueCount="103">
  <si>
    <t>Nodos</t>
  </si>
  <si>
    <t>P1(x) = (2/pi)*x + 1</t>
  </si>
  <si>
    <t>x</t>
  </si>
  <si>
    <t>y , plot(x,y,'*')</t>
  </si>
  <si>
    <t>f1 , hold on , ezplot(f1)</t>
  </si>
  <si>
    <t>Figure 1</t>
  </si>
  <si>
    <t>f2 , ezplot(f2)</t>
  </si>
  <si>
    <t>P2(x) = (-4/pi^2)*x^2 + 1</t>
  </si>
  <si>
    <t>Grado1</t>
  </si>
  <si>
    <t>x=</t>
  </si>
  <si>
    <t>Grado 2</t>
  </si>
  <si>
    <t>Grado 3</t>
  </si>
  <si>
    <t>y</t>
  </si>
  <si>
    <t>x0</t>
  </si>
  <si>
    <t>y0</t>
  </si>
  <si>
    <t>x1</t>
  </si>
  <si>
    <t>y1</t>
  </si>
  <si>
    <t>P1(x)=y0L0(x)+y1L1(x)</t>
  </si>
  <si>
    <t>L0(x)=(x-x1)/(x0-x1)</t>
  </si>
  <si>
    <t>L0(2.5)=</t>
  </si>
  <si>
    <t>L1(x)=(x-x0)/(x1-x0)</t>
  </si>
  <si>
    <t>L1(2.5)=</t>
  </si>
  <si>
    <t>P1(2.5)=</t>
  </si>
  <si>
    <t>x2</t>
  </si>
  <si>
    <t>y2</t>
  </si>
  <si>
    <t>P2(x)=y0L0(x)+y1L1(x)+y2L2(x)</t>
  </si>
  <si>
    <t>L0(x)=(x-x1)(x-x2)/((x0-x1)(x0-x2))</t>
  </si>
  <si>
    <t>L1(x)=(x-x0)(x-x2)/((x1-x0)(x1-x2))</t>
  </si>
  <si>
    <t>L2(x)=(x-x0)(x-x1)/((x2-x0)(x2-x1))</t>
  </si>
  <si>
    <t>L2(2.5)=</t>
  </si>
  <si>
    <t>P2(2.5)=</t>
  </si>
  <si>
    <t>x3</t>
  </si>
  <si>
    <t>y3</t>
  </si>
  <si>
    <t>P3(x)=y0L0+y1L1+y2L2+y3L3</t>
  </si>
  <si>
    <t>L3(2.5)=</t>
  </si>
  <si>
    <t>P3(2.5)=</t>
  </si>
  <si>
    <t>x , y</t>
  </si>
  <si>
    <t>Grado 1</t>
  </si>
  <si>
    <t xml:space="preserve">Evidencias </t>
  </si>
  <si>
    <t xml:space="preserve">Evidencias Octave </t>
  </si>
  <si>
    <t>Ejemplo</t>
  </si>
  <si>
    <t>Diferencias 0</t>
  </si>
  <si>
    <t>Diferencias 1</t>
  </si>
  <si>
    <t>Diferencias 2</t>
  </si>
  <si>
    <t>Diferencias 3</t>
  </si>
  <si>
    <t>Diferencias 4</t>
  </si>
  <si>
    <t>k</t>
  </si>
  <si>
    <t>xk</t>
  </si>
  <si>
    <t>f[xk]=</t>
  </si>
  <si>
    <t>f(xk)</t>
  </si>
  <si>
    <t>f[xk,xk+1]</t>
  </si>
  <si>
    <t>f[xk,xk+1,xk+2]</t>
  </si>
  <si>
    <t>f[xk,...,xk+3]</t>
  </si>
  <si>
    <t>f[x0,...,x4]</t>
  </si>
  <si>
    <t>f[x0]</t>
  </si>
  <si>
    <t>f[x1]</t>
  </si>
  <si>
    <t>f[x2]</t>
  </si>
  <si>
    <t>f[x3]</t>
  </si>
  <si>
    <t>f[x4]</t>
  </si>
  <si>
    <t>f[x0,x1]</t>
  </si>
  <si>
    <t>f[x1,x2]</t>
  </si>
  <si>
    <t>f[x2,x3]</t>
  </si>
  <si>
    <t>f[x3,x4]</t>
  </si>
  <si>
    <t>f[x0,x1,x2]</t>
  </si>
  <si>
    <t>f[x1,x2,x3]</t>
  </si>
  <si>
    <t>f[x2,x3,x4]</t>
  </si>
  <si>
    <t>f[x0,x1,x2,x3]</t>
  </si>
  <si>
    <t>f[x1,x2,x3,x4]</t>
  </si>
  <si>
    <t>f[x0,x1,x2,x3,x4]</t>
  </si>
  <si>
    <t>b0 = f[x0]</t>
  </si>
  <si>
    <t>b1 = f[x0,x1]</t>
  </si>
  <si>
    <t>b2 = f[x0,x1,x2]</t>
  </si>
  <si>
    <t>b3 = f[x0,x1,x2,x3]</t>
  </si>
  <si>
    <t>Nodos mas apropiados: 2.1 esta cerca de x0=2.0 -&gt; progresiva</t>
  </si>
  <si>
    <t>Grado 1: x0=2.0 y x1=2.2</t>
  </si>
  <si>
    <t>P1(2.1)=</t>
  </si>
  <si>
    <t>Grado 2: 2.0, 2.2, 2.4</t>
  </si>
  <si>
    <t>P2(2.1)=</t>
  </si>
  <si>
    <t>Grado 3: 2.0, 2.2, 2.4, 2.6</t>
  </si>
  <si>
    <t>P3(2.1)=</t>
  </si>
  <si>
    <t>La ultima de cada columna no se agrupa: no tiene con quien.</t>
  </si>
  <si>
    <t>x , f</t>
  </si>
  <si>
    <t>d1 , P1</t>
  </si>
  <si>
    <t>f(x)=e^x</t>
  </si>
  <si>
    <t>Diferencias divididas</t>
  </si>
  <si>
    <t>f[x0,...,x3]</t>
  </si>
  <si>
    <t>a) f(0.25) lineal, x0=0 y x1=0.5</t>
  </si>
  <si>
    <t>P1(0.25)=</t>
  </si>
  <si>
    <t>b) f(0.75) lineal, x0=0.5 y x1=1.0</t>
  </si>
  <si>
    <t>P1(0.75)=</t>
  </si>
  <si>
    <t>c) grado &lt;=2 con x0=0, x1=1.0, x2=2.0</t>
  </si>
  <si>
    <t>b0=</t>
  </si>
  <si>
    <t>b1=</t>
  </si>
  <si>
    <t>b2=</t>
  </si>
  <si>
    <t>P2(0.25)=</t>
  </si>
  <si>
    <t>P2(0.75)=</t>
  </si>
  <si>
    <t>d) Cual es mejor?</t>
  </si>
  <si>
    <t>Mejor: las lineales a) y b). Los nodos 0 y 0.5 rodean a 0.25, y 0.5 y 1 rodean a 0.75. En c) se usan 0, 1 y 2 (intervalo mas ancho y se salta x=0.5), por eso P2 queda mas lejos.</t>
  </si>
  <si>
    <t>e) Newton grado &lt;=3, todos los datos, f(0.25)</t>
  </si>
  <si>
    <t>0.25 cerca de x0=0 -&gt; progresiva</t>
  </si>
  <si>
    <t>b3=</t>
  </si>
  <si>
    <t>P3(0.25)=</t>
  </si>
  <si>
    <t>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</si>
</sst>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"/>
    <numFmt numFmtId="166" formatCode="0.000000"/>
    <numFmt numFmtId="167" formatCode="0.0000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/>
    <xf numFmtId="0" fontId="3" fillId="0" borderId="0" xfId="0" applyFont="1" applyAlignment="1">
      <alignment wrapText="1"/>
    </xf>
    <xf numFmtId="164" fontId="1" fillId="0" borderId="0" xfId="0" applyNumberFormat="1" applyFont="1"/>
    <xf numFmtId="165" fontId="1" fillId="0" borderId="0" xfId="0" applyNumberFormat="1" applyFont="1"/>
    <xf numFmtId="165" fontId="1" fillId="2" borderId="0" xfId="0" applyNumberFormat="1" applyFont="1" applyFill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6" fontId="1" fillId="0" borderId="1" xfId="0" applyNumberFormat="1" applyFont="1" applyBorder="1"/>
    <xf numFmtId="166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2" borderId="0" xfId="0" applyNumberFormat="1" applyFont="1" applyFill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wrapText="1"/>
    </xf>
    <xf numFmtId="0" fontId="1" fillId="0" borderId="0" xfId="0" applyFont="1" applyFill="1"/>
    <xf numFmtId="0" fontId="2" fillId="0" borderId="0" xfId="0" applyFont="1" applyFill="1"/>
    <xf numFmtId="0" fontId="4" fillId="0" borderId="0" xfId="0" applyFont="1" applyFill="1"/>
    <xf numFmtId="0" fontId="3" fillId="0" borderId="0" xfId="0" applyFont="1" applyFill="1"/>
    <xf numFmtId="165" fontId="1" fillId="0" borderId="0" xfId="0" applyNumberFormat="1" applyFont="1" applyFill="1"/>
    <xf numFmtId="166" fontId="1" fillId="0" borderId="0" xfId="0" applyNumberFormat="1" applyFont="1" applyFill="1"/>
    <xf numFmtId="2" fontId="1" fillId="2" borderId="0" xfId="0" applyNumberFormat="1" applyFont="1" applyFill="1"/>
    <xf numFmtId="166" fontId="1" fillId="2" borderId="0" xfId="0" applyNumberFormat="1" applyFont="1" applyFill="1"/>
    <xf numFmtId="0" fontId="1" fillId="0" borderId="0" xfId="0" applyFont="1" applyFill="1" applyAlignment="1">
      <alignment wrapText="1"/>
    </xf>
    <xf numFmtId="0" fontId="2" fillId="0" borderId="1" xfId="0" applyFont="1" applyFill="1" applyBorder="1"/>
    <xf numFmtId="0" fontId="1" fillId="0" borderId="1" xfId="0" applyFont="1" applyFill="1" applyBorder="1"/>
    <xf numFmtId="165" fontId="1" fillId="0" borderId="1" xfId="0" applyNumberFormat="1" applyFont="1" applyFill="1" applyBorder="1"/>
    <xf numFmtId="166" fontId="1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166" fontId="1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7</xdr:col>
      <xdr:colOff>117739</xdr:colOff>
      <xdr:row>10</xdr:row>
      <xdr:rowOff>38320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5040D7A-1189-24C5-BF51-4A9CD5E22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128000" cy="21020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31750</xdr:rowOff>
    </xdr:from>
    <xdr:to>
      <xdr:col>6</xdr:col>
      <xdr:colOff>285750</xdr:colOff>
      <xdr:row>31</xdr:row>
      <xdr:rowOff>78769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88C53C6-EA0B-4C78-0C0C-C237BD77E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67063"/>
          <a:ext cx="7112000" cy="2725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72231</xdr:rowOff>
    </xdr:from>
    <xdr:to>
      <xdr:col>5</xdr:col>
      <xdr:colOff>961760</xdr:colOff>
      <xdr:row>44</xdr:row>
      <xdr:rowOff>39418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E33A1B3-A540-D142-E5F5-03C5E1D4F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243638"/>
          <a:ext cx="6604000" cy="19317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103188</xdr:rowOff>
    </xdr:from>
    <xdr:to>
      <xdr:col>6</xdr:col>
      <xdr:colOff>285750</xdr:colOff>
      <xdr:row>59</xdr:row>
      <xdr:rowOff>76985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A0A9BCA-748B-45E0-109F-C29A254A6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96313"/>
          <a:ext cx="7112000" cy="22955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138906</xdr:rowOff>
    </xdr:from>
    <xdr:to>
      <xdr:col>4</xdr:col>
      <xdr:colOff>482864</xdr:colOff>
      <xdr:row>82</xdr:row>
      <xdr:rowOff>75535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D2BCFC-6F68-4174-51FD-6F694CE2A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10938"/>
          <a:ext cx="5080000" cy="36870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15081</xdr:rowOff>
    </xdr:from>
    <xdr:to>
      <xdr:col>6</xdr:col>
      <xdr:colOff>285750</xdr:colOff>
      <xdr:row>95</xdr:row>
      <xdr:rowOff>94251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888436B-D539-FD75-9D66-6D2D00FAE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473363"/>
          <a:ext cx="7112000" cy="18651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46038</xdr:rowOff>
    </xdr:from>
    <xdr:to>
      <xdr:col>4</xdr:col>
      <xdr:colOff>482864</xdr:colOff>
      <xdr:row>118</xdr:row>
      <xdr:rowOff>161260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62F47A8-54B2-9DD5-B90D-0D1AF67A7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826038"/>
          <a:ext cx="5080000" cy="36870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8</xdr:col>
      <xdr:colOff>411162</xdr:colOff>
      <xdr:row>50</xdr:row>
      <xdr:rowOff>35702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4EAAE1-F602-1744-2002-CAD93E9DB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81613"/>
          <a:ext cx="7112000" cy="40171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8</xdr:col>
      <xdr:colOff>411162</xdr:colOff>
      <xdr:row>67</xdr:row>
      <xdr:rowOff>11299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5C2995A-03FC-BE04-C57E-F7FFBF367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25013"/>
          <a:ext cx="7112000" cy="2725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8</xdr:col>
      <xdr:colOff>411162</xdr:colOff>
      <xdr:row>84</xdr:row>
      <xdr:rowOff>11301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2FFB94-F09A-933C-671E-A231CE805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01588"/>
          <a:ext cx="7112000" cy="2725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8</xdr:col>
      <xdr:colOff>1173162</xdr:colOff>
      <xdr:row>105</xdr:row>
      <xdr:rowOff>55986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A2F25D2-873A-00AE-A33A-3A974C5B8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78163"/>
          <a:ext cx="7874000" cy="34945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136586</xdr:colOff>
      <xdr:row>2</xdr:row>
      <xdr:rowOff>1187271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55604B-1B47-44E4-1340-1895F38CE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211621" cy="1697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52387</xdr:colOff>
      <xdr:row>0</xdr:row>
      <xdr:rowOff>0</xdr:rowOff>
    </xdr:from>
    <xdr:to>
      <xdr:col>19</xdr:col>
      <xdr:colOff>457199</xdr:colOff>
      <xdr:row>14</xdr:row>
      <xdr:rowOff>390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7BFB0C-4C47-CE31-AADF-F805DA46D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0862" y="0"/>
          <a:ext cx="5334000" cy="2534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4</xdr:col>
      <xdr:colOff>1118718</xdr:colOff>
      <xdr:row>51</xdr:row>
      <xdr:rowOff>176353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E62A8B-1E0D-1E83-A653-95610904F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429250"/>
          <a:ext cx="6858000" cy="39768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4</xdr:col>
      <xdr:colOff>1118718</xdr:colOff>
      <xdr:row>71</xdr:row>
      <xdr:rowOff>48076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8BB5B92-4B87-0BFB-4A11-CE4C8F424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72650"/>
          <a:ext cx="6858000" cy="3124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54</xdr:row>
      <xdr:rowOff>0</xdr:rowOff>
    </xdr:from>
    <xdr:to>
      <xdr:col>4</xdr:col>
      <xdr:colOff>1114425</xdr:colOff>
      <xdr:row>73</xdr:row>
      <xdr:rowOff>20121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F0987BF-0C5D-6852-C16C-1AB6C8B12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144125"/>
          <a:ext cx="6858000" cy="34586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180974</xdr:rowOff>
    </xdr:from>
    <xdr:to>
      <xdr:col>5</xdr:col>
      <xdr:colOff>944562</xdr:colOff>
      <xdr:row>90</xdr:row>
      <xdr:rowOff>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D6D9BD-A037-4A6D-8E3E-423AE86F7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944599"/>
          <a:ext cx="7874000" cy="2779726"/>
        </a:xfrm>
        <a:prstGeom prst="rect">
          <a:avLst/>
        </a:prstGeom>
      </xdr:spPr>
    </xdr:pic>
    <xdr:clientData/>
  </xdr:twoCellAnchor>
  <xdr:twoCellAnchor editAs="oneCell">
    <xdr:from>
      <xdr:col>0</xdr:col>
      <xdr:colOff>1717623</xdr:colOff>
      <xdr:row>0</xdr:row>
      <xdr:rowOff>39037</xdr:rowOff>
    </xdr:from>
    <xdr:to>
      <xdr:col>6</xdr:col>
      <xdr:colOff>1315310</xdr:colOff>
      <xdr:row>2</xdr:row>
      <xdr:rowOff>134300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F66C8CE-C01B-4076-BC91-6DA2328C6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7623" y="39037"/>
          <a:ext cx="7584635" cy="23047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92A7-FAC4-44CF-9137-DD23407421C5}">
  <dimension ref="A3:A97"/>
  <sheetViews>
    <sheetView showGridLines="0" zoomScale="72" workbookViewId="0">
      <selection activeCell="A15" sqref="A15"/>
    </sheetView>
  </sheetViews>
  <sheetFormatPr defaultRowHeight="14.25" x14ac:dyDescent="0.45"/>
  <cols>
    <col min="1" max="1" width="14.59765625" style="1" customWidth="1"/>
    <col min="2" max="4" width="16.59765625" style="1" customWidth="1"/>
    <col min="5" max="5" width="14.59765625" style="1" customWidth="1"/>
    <col min="6" max="7" width="16.59765625" style="1" customWidth="1"/>
    <col min="8" max="8" width="14.59765625" style="1" customWidth="1"/>
    <col min="9" max="9" width="16.59765625" style="1" customWidth="1"/>
    <col min="10" max="10" width="14.59765625" style="1" customWidth="1"/>
    <col min="11" max="11" width="18.59765625" style="1" customWidth="1"/>
    <col min="12" max="12" width="16.59765625" style="1" customWidth="1"/>
    <col min="13" max="13" width="14.59765625" style="1" customWidth="1"/>
    <col min="14" max="14" width="9.06640625" style="1"/>
    <col min="15" max="15" width="14.59765625" style="1" customWidth="1"/>
    <col min="16" max="16384" width="9.06640625" style="1"/>
  </cols>
  <sheetData>
    <row r="3" spans="1:1" ht="32" customHeight="1" x14ac:dyDescent="0.45"/>
    <row r="6" spans="1:1" ht="18" customHeight="1" x14ac:dyDescent="0.45"/>
    <row r="12" spans="1:1" x14ac:dyDescent="0.45">
      <c r="A12" s="2" t="s">
        <v>1</v>
      </c>
    </row>
    <row r="13" spans="1:1" x14ac:dyDescent="0.45">
      <c r="A13" s="2" t="s">
        <v>7</v>
      </c>
    </row>
    <row r="15" spans="1:1" x14ac:dyDescent="0.45">
      <c r="A15" s="2" t="s">
        <v>38</v>
      </c>
    </row>
    <row r="16" spans="1:1" x14ac:dyDescent="0.45">
      <c r="A16" s="1" t="s">
        <v>2</v>
      </c>
    </row>
    <row r="33" spans="1:1" x14ac:dyDescent="0.45">
      <c r="A33" s="1" t="s">
        <v>3</v>
      </c>
    </row>
    <row r="46" spans="1:1" x14ac:dyDescent="0.45">
      <c r="A46" s="1" t="s">
        <v>4</v>
      </c>
    </row>
    <row r="61" spans="1:1" x14ac:dyDescent="0.45">
      <c r="A61" s="1" t="s">
        <v>5</v>
      </c>
    </row>
    <row r="84" spans="1:1" x14ac:dyDescent="0.45">
      <c r="A84" s="1" t="s">
        <v>6</v>
      </c>
    </row>
    <row r="97" spans="1:1" x14ac:dyDescent="0.45">
      <c r="A97" s="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E08B-373E-4F71-9360-07F110C46219}">
  <dimension ref="A1:Q86"/>
  <sheetViews>
    <sheetView topLeftCell="A2" zoomScale="71" workbookViewId="0">
      <selection activeCell="N3" sqref="N3"/>
    </sheetView>
  </sheetViews>
  <sheetFormatPr defaultRowHeight="14.25" x14ac:dyDescent="0.45"/>
  <cols>
    <col min="1" max="1" width="11.59765625" style="1" customWidth="1"/>
    <col min="2" max="2" width="13.59765625" style="1" customWidth="1"/>
    <col min="3" max="3" width="3.59765625" style="1" customWidth="1"/>
    <col min="4" max="4" width="22.59765625" style="1" customWidth="1"/>
    <col min="5" max="5" width="10.59765625" style="1" customWidth="1"/>
    <col min="6" max="6" width="14.59765625" style="1" customWidth="1"/>
    <col min="7" max="7" width="13.59765625" style="1" customWidth="1"/>
    <col min="8" max="8" width="3.59765625" style="1" customWidth="1"/>
    <col min="9" max="9" width="36.59765625" style="1" customWidth="1"/>
    <col min="10" max="10" width="10.59765625" style="1" customWidth="1"/>
    <col min="11" max="11" width="14.59765625" style="1" customWidth="1"/>
    <col min="12" max="12" width="13.59765625" style="1" customWidth="1"/>
    <col min="13" max="13" width="3.59765625" style="1" customWidth="1"/>
    <col min="14" max="14" width="16.59765625" style="1" customWidth="1"/>
    <col min="15" max="15" width="10.59765625" style="1" customWidth="1"/>
    <col min="16" max="16" width="14.59765625" style="1" customWidth="1"/>
    <col min="17" max="17" width="13.59765625" style="1" customWidth="1"/>
    <col min="18" max="16384" width="9.06640625" style="1"/>
  </cols>
  <sheetData>
    <row r="1" spans="1:17" ht="20" customHeight="1" x14ac:dyDescent="0.55000000000000004">
      <c r="A1" s="22"/>
      <c r="B1" s="22"/>
      <c r="C1" s="22"/>
      <c r="D1" s="22"/>
      <c r="E1" s="22"/>
      <c r="F1" s="22"/>
      <c r="G1" s="22"/>
      <c r="H1" s="22"/>
      <c r="I1" s="22"/>
      <c r="J1" s="5"/>
      <c r="K1" s="5"/>
      <c r="L1" s="5"/>
    </row>
    <row r="2" spans="1:17" ht="20" customHeight="1" x14ac:dyDescent="0.55000000000000004">
      <c r="A2" s="22"/>
      <c r="B2" s="22"/>
      <c r="C2" s="22"/>
      <c r="D2" s="22"/>
      <c r="E2" s="22"/>
      <c r="F2" s="22"/>
      <c r="G2" s="22"/>
      <c r="H2" s="22"/>
      <c r="I2" s="22"/>
      <c r="J2" s="5"/>
      <c r="K2" s="5"/>
      <c r="L2" s="5"/>
    </row>
    <row r="3" spans="1:17" ht="105" customHeight="1" x14ac:dyDescent="0.55000000000000004">
      <c r="A3" s="22"/>
      <c r="B3" s="22"/>
      <c r="C3" s="22"/>
      <c r="D3" s="22"/>
      <c r="E3" s="22"/>
      <c r="F3" s="22"/>
      <c r="G3" s="22"/>
      <c r="H3" s="22"/>
      <c r="I3" s="22"/>
      <c r="J3" s="5"/>
      <c r="K3" s="5"/>
      <c r="L3" s="5"/>
    </row>
    <row r="5" spans="1:17" x14ac:dyDescent="0.45">
      <c r="A5" s="2" t="s">
        <v>0</v>
      </c>
      <c r="D5" s="2" t="s">
        <v>8</v>
      </c>
      <c r="E5" s="1" t="s">
        <v>9</v>
      </c>
      <c r="G5" s="3">
        <v>2.5</v>
      </c>
      <c r="I5" s="2" t="s">
        <v>10</v>
      </c>
      <c r="J5" s="1" t="s">
        <v>9</v>
      </c>
      <c r="K5" s="3">
        <f>G5</f>
        <v>2.5</v>
      </c>
      <c r="N5" s="2" t="s">
        <v>11</v>
      </c>
      <c r="O5" s="1" t="s">
        <v>9</v>
      </c>
      <c r="P5" s="3">
        <f>G5</f>
        <v>2.5</v>
      </c>
    </row>
    <row r="6" spans="1:17" x14ac:dyDescent="0.45">
      <c r="A6" s="2" t="s">
        <v>2</v>
      </c>
      <c r="B6" s="2" t="s">
        <v>12</v>
      </c>
    </row>
    <row r="7" spans="1:17" x14ac:dyDescent="0.45">
      <c r="A7" s="6">
        <v>2</v>
      </c>
      <c r="B7" s="6">
        <v>0.51037569999999999</v>
      </c>
      <c r="D7" s="1" t="s">
        <v>13</v>
      </c>
      <c r="E7" s="6">
        <f>A9</f>
        <v>2.4</v>
      </c>
      <c r="F7" s="6" t="s">
        <v>14</v>
      </c>
      <c r="G7" s="6">
        <f>B9</f>
        <v>0.5104147</v>
      </c>
      <c r="I7" s="1" t="s">
        <v>13</v>
      </c>
      <c r="J7" s="6">
        <f>A8</f>
        <v>2.2000000000000002</v>
      </c>
      <c r="K7" s="6" t="s">
        <v>14</v>
      </c>
      <c r="L7" s="6">
        <f>B8</f>
        <v>0.52078429999999998</v>
      </c>
      <c r="N7" s="1" t="s">
        <v>13</v>
      </c>
      <c r="O7" s="6">
        <f>A8</f>
        <v>2.2000000000000002</v>
      </c>
      <c r="P7" s="6" t="s">
        <v>14</v>
      </c>
      <c r="Q7" s="6">
        <f>B8</f>
        <v>0.52078429999999998</v>
      </c>
    </row>
    <row r="8" spans="1:17" x14ac:dyDescent="0.45">
      <c r="A8" s="6">
        <v>2.2000000000000002</v>
      </c>
      <c r="B8" s="6">
        <v>0.52078429999999998</v>
      </c>
      <c r="D8" s="1" t="s">
        <v>15</v>
      </c>
      <c r="E8" s="6">
        <f>A10</f>
        <v>2.6</v>
      </c>
      <c r="F8" s="6" t="s">
        <v>16</v>
      </c>
      <c r="G8" s="6">
        <f>B10</f>
        <v>0.4813306</v>
      </c>
      <c r="I8" s="1" t="s">
        <v>15</v>
      </c>
      <c r="J8" s="6">
        <f>A9</f>
        <v>2.4</v>
      </c>
      <c r="K8" s="6" t="s">
        <v>16</v>
      </c>
      <c r="L8" s="6">
        <f>B9</f>
        <v>0.5104147</v>
      </c>
      <c r="N8" s="1" t="s">
        <v>15</v>
      </c>
      <c r="O8" s="6">
        <f>A9</f>
        <v>2.4</v>
      </c>
      <c r="P8" s="6" t="s">
        <v>16</v>
      </c>
      <c r="Q8" s="6">
        <f>B9</f>
        <v>0.5104147</v>
      </c>
    </row>
    <row r="9" spans="1:17" x14ac:dyDescent="0.45">
      <c r="A9" s="6">
        <v>2.4</v>
      </c>
      <c r="B9" s="6">
        <v>0.5104147</v>
      </c>
      <c r="I9" s="1" t="s">
        <v>23</v>
      </c>
      <c r="J9" s="6">
        <f>A10</f>
        <v>2.6</v>
      </c>
      <c r="K9" s="6" t="s">
        <v>24</v>
      </c>
      <c r="L9" s="6">
        <f>B10</f>
        <v>0.4813306</v>
      </c>
      <c r="N9" s="1" t="s">
        <v>23</v>
      </c>
      <c r="O9" s="6">
        <f>A10</f>
        <v>2.6</v>
      </c>
      <c r="P9" s="6" t="s">
        <v>24</v>
      </c>
      <c r="Q9" s="6">
        <f>B10</f>
        <v>0.4813306</v>
      </c>
    </row>
    <row r="10" spans="1:17" x14ac:dyDescent="0.45">
      <c r="A10" s="6">
        <v>2.6</v>
      </c>
      <c r="B10" s="6">
        <v>0.4813306</v>
      </c>
      <c r="D10" s="1" t="s">
        <v>17</v>
      </c>
      <c r="N10" s="1" t="s">
        <v>31</v>
      </c>
      <c r="O10" s="6">
        <f>A11</f>
        <v>2.8</v>
      </c>
      <c r="P10" s="6" t="s">
        <v>32</v>
      </c>
      <c r="Q10" s="6">
        <f>B11</f>
        <v>0.43591600000000003</v>
      </c>
    </row>
    <row r="11" spans="1:17" x14ac:dyDescent="0.45">
      <c r="A11" s="6">
        <v>2.8</v>
      </c>
      <c r="B11" s="6">
        <v>0.43591600000000003</v>
      </c>
    </row>
    <row r="12" spans="1:17" x14ac:dyDescent="0.45">
      <c r="D12" s="1" t="s">
        <v>18</v>
      </c>
      <c r="I12" s="1" t="s">
        <v>25</v>
      </c>
      <c r="N12" s="1" t="s">
        <v>33</v>
      </c>
    </row>
    <row r="13" spans="1:17" x14ac:dyDescent="0.45">
      <c r="D13" s="1" t="s">
        <v>19</v>
      </c>
      <c r="F13" s="6">
        <f>(G5-E8)/(E7-E8)</f>
        <v>0.5</v>
      </c>
    </row>
    <row r="14" spans="1:17" x14ac:dyDescent="0.45">
      <c r="I14" s="1" t="s">
        <v>26</v>
      </c>
      <c r="N14" s="1" t="s">
        <v>19</v>
      </c>
      <c r="P14" s="6">
        <f>(P5-O8)*(P5-O9)*(P5-O10)/((O7-O8)*(O7-O9)*(O7-O10))</f>
        <v>-6.2500000000000208E-2</v>
      </c>
    </row>
    <row r="15" spans="1:17" x14ac:dyDescent="0.45">
      <c r="D15" s="1" t="s">
        <v>20</v>
      </c>
      <c r="I15" s="1" t="s">
        <v>19</v>
      </c>
      <c r="K15" s="6">
        <f>(K5-J8)*(K5-J9)/((J7-J8)*(J7-J9))</f>
        <v>-0.12500000000000042</v>
      </c>
    </row>
    <row r="16" spans="1:17" x14ac:dyDescent="0.45">
      <c r="D16" s="1" t="s">
        <v>21</v>
      </c>
      <c r="F16" s="6">
        <f>(G5-E7)/(E8-E7)</f>
        <v>0.5</v>
      </c>
      <c r="N16" s="1" t="s">
        <v>21</v>
      </c>
      <c r="P16" s="6">
        <f>(P5-O7)*(P5-O9)*(P5-O10)/((O8-O7)*(O8-O9)*(O8-O10))</f>
        <v>0.56250000000000022</v>
      </c>
    </row>
    <row r="17" spans="1:16" x14ac:dyDescent="0.45">
      <c r="I17" s="1" t="s">
        <v>27</v>
      </c>
    </row>
    <row r="18" spans="1:16" x14ac:dyDescent="0.45">
      <c r="D18" s="1" t="s">
        <v>22</v>
      </c>
      <c r="F18" s="4">
        <f>G7*F13+G8*F16</f>
        <v>0.49587265000000003</v>
      </c>
      <c r="I18" s="1" t="s">
        <v>21</v>
      </c>
      <c r="K18" s="6">
        <f>(K5-J7)*(K5-J9)/((J8-J7)*(J8-J9))</f>
        <v>0.75000000000000056</v>
      </c>
      <c r="N18" s="1" t="s">
        <v>29</v>
      </c>
      <c r="P18" s="6">
        <f>(P5-O7)*(P5-O8)*(P5-O10)/((O9-O7)*(O9-O8)*(O9-O10))</f>
        <v>0.56250000000000022</v>
      </c>
    </row>
    <row r="20" spans="1:16" x14ac:dyDescent="0.45">
      <c r="I20" s="1" t="s">
        <v>28</v>
      </c>
      <c r="N20" s="1" t="s">
        <v>34</v>
      </c>
      <c r="P20" s="6">
        <f>(P5-O7)*(P5-O8)*(P5-O9)/((O10-O7)*(O10-O8)*(O10-O9))</f>
        <v>-6.2500000000000208E-2</v>
      </c>
    </row>
    <row r="21" spans="1:16" x14ac:dyDescent="0.45">
      <c r="I21" s="1" t="s">
        <v>29</v>
      </c>
      <c r="K21" s="6">
        <f>(K5-J7)*(K5-J8)/((J9-J7)*(J9-J8))</f>
        <v>0.37499999999999983</v>
      </c>
    </row>
    <row r="22" spans="1:16" x14ac:dyDescent="0.45">
      <c r="N22" s="1" t="s">
        <v>35</v>
      </c>
      <c r="P22" s="4">
        <f>Q7*P14+Q8*P16+Q9*P18+Q10*P20</f>
        <v>0.49806296249999998</v>
      </c>
    </row>
    <row r="23" spans="1:16" x14ac:dyDescent="0.45">
      <c r="I23" s="1" t="s">
        <v>30</v>
      </c>
      <c r="K23" s="4">
        <f>L7*K15+L8*K18+L9*K21</f>
        <v>0.49821196249999999</v>
      </c>
    </row>
    <row r="25" spans="1:16" x14ac:dyDescent="0.45">
      <c r="A25" s="21" t="s">
        <v>0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</row>
    <row r="27" spans="1:16" x14ac:dyDescent="0.45">
      <c r="A27" s="2" t="s">
        <v>39</v>
      </c>
    </row>
    <row r="28" spans="1:16" x14ac:dyDescent="0.45">
      <c r="A28" s="1" t="s">
        <v>36</v>
      </c>
    </row>
    <row r="52" spans="1:1" x14ac:dyDescent="0.45">
      <c r="A52" s="1" t="s">
        <v>37</v>
      </c>
    </row>
    <row r="69" spans="1:1" x14ac:dyDescent="0.45">
      <c r="A69" s="1" t="s">
        <v>10</v>
      </c>
    </row>
    <row r="86" spans="1:1" x14ac:dyDescent="0.45">
      <c r="A86" s="1" t="s">
        <v>11</v>
      </c>
    </row>
  </sheetData>
  <mergeCells count="2">
    <mergeCell ref="A25:L25"/>
    <mergeCell ref="A1:I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5269-C896-4763-A576-85E7E6C2BBA5}">
  <dimension ref="A1:L54"/>
  <sheetViews>
    <sheetView zoomScale="74" workbookViewId="0">
      <selection activeCell="B14" sqref="B14"/>
    </sheetView>
  </sheetViews>
  <sheetFormatPr defaultRowHeight="14.25" x14ac:dyDescent="0.45"/>
  <cols>
    <col min="1" max="1" width="38.59765625" style="1" customWidth="1"/>
    <col min="2" max="2" width="14.59765625" style="1" customWidth="1"/>
    <col min="3" max="3" width="12.59765625" style="1" customWidth="1"/>
    <col min="4" max="4" width="14.59765625" style="1" customWidth="1"/>
    <col min="5" max="5" width="16.59765625" style="1" customWidth="1"/>
    <col min="6" max="6" width="14.59765625" style="1" customWidth="1"/>
    <col min="7" max="7" width="18.59765625" style="1" customWidth="1"/>
    <col min="8" max="8" width="14.59765625" style="1" customWidth="1"/>
    <col min="9" max="9" width="20.59765625" style="1" customWidth="1"/>
    <col min="10" max="10" width="14.59765625" style="1" customWidth="1"/>
    <col min="11" max="11" width="22.59765625" style="1" customWidth="1"/>
    <col min="12" max="13" width="14.59765625" style="1" customWidth="1"/>
    <col min="14" max="16384" width="9.06640625" style="1"/>
  </cols>
  <sheetData>
    <row r="1" spans="1:12" x14ac:dyDescent="0.45">
      <c r="A1" s="2" t="s">
        <v>40</v>
      </c>
    </row>
    <row r="3" spans="1:12" x14ac:dyDescent="0.45">
      <c r="C3" s="2" t="s">
        <v>41</v>
      </c>
      <c r="E3" s="2" t="s">
        <v>42</v>
      </c>
      <c r="G3" s="2" t="s">
        <v>43</v>
      </c>
      <c r="I3" s="2" t="s">
        <v>44</v>
      </c>
      <c r="K3" s="2" t="s">
        <v>45</v>
      </c>
    </row>
    <row r="4" spans="1:12" x14ac:dyDescent="0.45">
      <c r="A4" s="16" t="s">
        <v>46</v>
      </c>
      <c r="B4" s="16" t="s">
        <v>47</v>
      </c>
      <c r="C4" s="16" t="s">
        <v>48</v>
      </c>
      <c r="D4" s="16" t="s">
        <v>49</v>
      </c>
      <c r="E4" s="9" t="s">
        <v>50</v>
      </c>
      <c r="F4" s="9"/>
      <c r="G4" s="9" t="s">
        <v>51</v>
      </c>
      <c r="H4" s="9"/>
      <c r="I4" s="9" t="s">
        <v>52</v>
      </c>
      <c r="J4" s="9"/>
      <c r="K4" s="9" t="s">
        <v>53</v>
      </c>
      <c r="L4" s="10"/>
    </row>
    <row r="5" spans="1:12" x14ac:dyDescent="0.45">
      <c r="A5" s="17">
        <v>0</v>
      </c>
      <c r="B5" s="18">
        <v>2</v>
      </c>
      <c r="C5" s="17" t="s">
        <v>54</v>
      </c>
      <c r="D5" s="19">
        <v>0.51037569999999999</v>
      </c>
      <c r="E5" s="10" t="s">
        <v>59</v>
      </c>
      <c r="F5" s="14">
        <f>(D6-D5)/(B6-B5)</f>
        <v>5.2042999999999902E-2</v>
      </c>
      <c r="G5" s="10" t="s">
        <v>63</v>
      </c>
      <c r="H5" s="14">
        <f>(F6-F5)/(B7-B5)</f>
        <v>-0.25972749999999972</v>
      </c>
      <c r="I5" s="10" t="s">
        <v>66</v>
      </c>
      <c r="J5" s="14">
        <f>(H6-H5)/(B8-B5)</f>
        <v>4.2993749999999845E-2</v>
      </c>
      <c r="K5" s="10" t="s">
        <v>68</v>
      </c>
      <c r="L5" s="14">
        <f>(J6-J5)/(B9-B5)</f>
        <v>8.3411458333315317E-3</v>
      </c>
    </row>
    <row r="6" spans="1:12" x14ac:dyDescent="0.45">
      <c r="A6" s="17">
        <v>1</v>
      </c>
      <c r="B6" s="18">
        <v>2.2000000000000002</v>
      </c>
      <c r="C6" s="17" t="s">
        <v>55</v>
      </c>
      <c r="D6" s="19">
        <v>0.52078429999999998</v>
      </c>
      <c r="E6" s="10" t="s">
        <v>60</v>
      </c>
      <c r="F6" s="14">
        <f>(D7-D6)/(B7-B6)</f>
        <v>-5.1847999999999964E-2</v>
      </c>
      <c r="G6" s="10" t="s">
        <v>64</v>
      </c>
      <c r="H6" s="14">
        <f>(F7-F6)/(B8-B6)</f>
        <v>-0.23393124999999981</v>
      </c>
      <c r="I6" s="10" t="s">
        <v>67</v>
      </c>
      <c r="J6" s="14">
        <f>(H7-H6)/(B9-B6)</f>
        <v>4.9666666666665069E-2</v>
      </c>
      <c r="K6" s="10"/>
      <c r="L6" s="10"/>
    </row>
    <row r="7" spans="1:12" x14ac:dyDescent="0.45">
      <c r="A7" s="17">
        <v>2</v>
      </c>
      <c r="B7" s="18">
        <v>2.4</v>
      </c>
      <c r="C7" s="17" t="s">
        <v>56</v>
      </c>
      <c r="D7" s="19">
        <v>0.5104147</v>
      </c>
      <c r="E7" s="10" t="s">
        <v>61</v>
      </c>
      <c r="F7" s="14">
        <f>(D8-D7)/(B8-B7)</f>
        <v>-0.14542049999999987</v>
      </c>
      <c r="G7" s="10" t="s">
        <v>65</v>
      </c>
      <c r="H7" s="14">
        <f>(F8-F7)/(B9-B7)</f>
        <v>-0.20413125000000079</v>
      </c>
      <c r="I7" s="10"/>
      <c r="J7" s="10"/>
      <c r="K7" s="10"/>
      <c r="L7" s="10"/>
    </row>
    <row r="8" spans="1:12" x14ac:dyDescent="0.45">
      <c r="A8" s="17">
        <v>3</v>
      </c>
      <c r="B8" s="18">
        <v>2.6</v>
      </c>
      <c r="C8" s="17" t="s">
        <v>57</v>
      </c>
      <c r="D8" s="19">
        <v>0.4813306</v>
      </c>
      <c r="E8" s="10" t="s">
        <v>62</v>
      </c>
      <c r="F8" s="14">
        <f>(D9-D8)/(B9-B8)</f>
        <v>-0.22707300000000016</v>
      </c>
      <c r="G8" s="10"/>
      <c r="H8" s="10"/>
      <c r="I8" s="10"/>
      <c r="J8" s="10"/>
      <c r="K8" s="10"/>
      <c r="L8" s="10"/>
    </row>
    <row r="9" spans="1:12" x14ac:dyDescent="0.45">
      <c r="A9" s="17">
        <v>4</v>
      </c>
      <c r="B9" s="18">
        <v>2.8</v>
      </c>
      <c r="C9" s="17" t="s">
        <v>58</v>
      </c>
      <c r="D9" s="19">
        <v>0.43591600000000003</v>
      </c>
      <c r="E9" s="10"/>
      <c r="F9" s="10"/>
      <c r="G9" s="10"/>
      <c r="H9" s="10"/>
      <c r="I9" s="10"/>
      <c r="J9" s="10"/>
      <c r="K9" s="10"/>
      <c r="L9" s="10"/>
    </row>
    <row r="10" spans="1:12" x14ac:dyDescent="0.45">
      <c r="B10" s="7"/>
    </row>
    <row r="11" spans="1:12" x14ac:dyDescent="0.45">
      <c r="B11" s="7"/>
    </row>
    <row r="12" spans="1:12" x14ac:dyDescent="0.45">
      <c r="A12" s="1" t="s">
        <v>9</v>
      </c>
      <c r="B12" s="8">
        <v>2.1</v>
      </c>
    </row>
    <row r="14" spans="1:12" x14ac:dyDescent="0.45">
      <c r="A14" s="1" t="s">
        <v>69</v>
      </c>
      <c r="B14" s="15">
        <f>D5</f>
        <v>0.51037569999999999</v>
      </c>
    </row>
    <row r="15" spans="1:12" x14ac:dyDescent="0.45">
      <c r="A15" s="1" t="s">
        <v>70</v>
      </c>
      <c r="B15" s="15">
        <f>F5</f>
        <v>5.2042999999999902E-2</v>
      </c>
    </row>
    <row r="16" spans="1:12" x14ac:dyDescent="0.45">
      <c r="A16" s="1" t="s">
        <v>71</v>
      </c>
      <c r="B16" s="15">
        <f>H5</f>
        <v>-0.25972749999999972</v>
      </c>
    </row>
    <row r="17" spans="1:2" x14ac:dyDescent="0.45">
      <c r="A17" s="1" t="s">
        <v>72</v>
      </c>
      <c r="B17" s="15">
        <f>J5</f>
        <v>4.2993749999999845E-2</v>
      </c>
    </row>
    <row r="18" spans="1:2" x14ac:dyDescent="0.45">
      <c r="B18" s="12"/>
    </row>
    <row r="19" spans="1:2" x14ac:dyDescent="0.45">
      <c r="A19" s="1" t="s">
        <v>73</v>
      </c>
      <c r="B19" s="12"/>
    </row>
    <row r="20" spans="1:2" x14ac:dyDescent="0.45">
      <c r="A20" s="1" t="s">
        <v>74</v>
      </c>
      <c r="B20" s="12"/>
    </row>
    <row r="21" spans="1:2" x14ac:dyDescent="0.45">
      <c r="A21" s="1" t="s">
        <v>75</v>
      </c>
      <c r="B21" s="20">
        <f>B14+B15*(B12-B5)</f>
        <v>0.51557999999999993</v>
      </c>
    </row>
    <row r="22" spans="1:2" x14ac:dyDescent="0.45">
      <c r="A22" s="1" t="s">
        <v>76</v>
      </c>
      <c r="B22" s="11"/>
    </row>
    <row r="23" spans="1:2" x14ac:dyDescent="0.45">
      <c r="A23" s="1" t="s">
        <v>77</v>
      </c>
      <c r="B23" s="13">
        <f>B21+B16*(B12-B5)*(B12-B6)</f>
        <v>0.51817727499999988</v>
      </c>
    </row>
    <row r="24" spans="1:2" x14ac:dyDescent="0.45">
      <c r="A24" s="1" t="s">
        <v>78</v>
      </c>
      <c r="B24" s="11"/>
    </row>
    <row r="25" spans="1:2" x14ac:dyDescent="0.45">
      <c r="A25" s="1" t="s">
        <v>79</v>
      </c>
      <c r="B25" s="13">
        <f>B23+B17*(B12-B5)*(B12-B6)*(B12-B7)</f>
        <v>0.51830625624999993</v>
      </c>
    </row>
    <row r="27" spans="1:2" x14ac:dyDescent="0.45">
      <c r="A27" s="1" t="s">
        <v>80</v>
      </c>
    </row>
    <row r="29" spans="1:2" x14ac:dyDescent="0.45">
      <c r="A29" s="2" t="s">
        <v>39</v>
      </c>
    </row>
    <row r="30" spans="1:2" x14ac:dyDescent="0.45">
      <c r="A30" s="1" t="s">
        <v>81</v>
      </c>
    </row>
    <row r="54" spans="1:1" x14ac:dyDescent="0.45">
      <c r="A54" s="1" t="s">
        <v>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3F09-D873-4B3D-81BD-9E3B17EF424D}">
  <dimension ref="A1:J53"/>
  <sheetViews>
    <sheetView tabSelected="1" zoomScale="61" workbookViewId="0">
      <selection activeCell="D25" sqref="D25"/>
    </sheetView>
  </sheetViews>
  <sheetFormatPr defaultRowHeight="14.25" x14ac:dyDescent="0.45"/>
  <cols>
    <col min="1" max="1" width="36.59765625" style="23" customWidth="1"/>
    <col min="2" max="4" width="14.59765625" style="23" customWidth="1"/>
    <col min="5" max="5" width="16.59765625" style="23" customWidth="1"/>
    <col min="6" max="6" width="14.59765625" style="23" customWidth="1"/>
    <col min="7" max="7" width="18.59765625" style="23" customWidth="1"/>
    <col min="8" max="8" width="14.59765625" style="23" customWidth="1"/>
    <col min="9" max="9" width="20.59765625" style="23" customWidth="1"/>
    <col min="10" max="10" width="14.59765625" style="23" customWidth="1"/>
    <col min="11" max="11" width="12.59765625" style="23" customWidth="1"/>
    <col min="12" max="13" width="14.59765625" style="23" customWidth="1"/>
    <col min="14" max="16384" width="9.06640625" style="23"/>
  </cols>
  <sheetData>
    <row r="1" spans="1:10" ht="18" x14ac:dyDescent="0.55000000000000004">
      <c r="A1" s="25"/>
    </row>
    <row r="2" spans="1:10" ht="156" customHeight="1" x14ac:dyDescent="0.55000000000000004">
      <c r="A2" s="26" t="s">
        <v>83</v>
      </c>
      <c r="B2" s="40"/>
      <c r="C2" s="40"/>
      <c r="D2" s="40"/>
      <c r="E2" s="40"/>
      <c r="F2" s="40"/>
    </row>
    <row r="4" spans="1:10" x14ac:dyDescent="0.45">
      <c r="A4" s="24" t="s">
        <v>0</v>
      </c>
    </row>
    <row r="5" spans="1:10" x14ac:dyDescent="0.45">
      <c r="A5" s="36" t="s">
        <v>46</v>
      </c>
      <c r="B5" s="36" t="s">
        <v>47</v>
      </c>
      <c r="C5" s="36" t="s">
        <v>48</v>
      </c>
      <c r="D5" s="36" t="s">
        <v>49</v>
      </c>
    </row>
    <row r="6" spans="1:10" x14ac:dyDescent="0.45">
      <c r="A6" s="37">
        <v>0</v>
      </c>
      <c r="B6" s="38">
        <v>0</v>
      </c>
      <c r="C6" s="37" t="s">
        <v>54</v>
      </c>
      <c r="D6" s="39">
        <v>1</v>
      </c>
    </row>
    <row r="7" spans="1:10" x14ac:dyDescent="0.45">
      <c r="A7" s="37">
        <v>1</v>
      </c>
      <c r="B7" s="38">
        <v>0.5</v>
      </c>
      <c r="C7" s="37" t="s">
        <v>55</v>
      </c>
      <c r="D7" s="39">
        <v>1.648722</v>
      </c>
    </row>
    <row r="8" spans="1:10" x14ac:dyDescent="0.45">
      <c r="A8" s="37">
        <v>2</v>
      </c>
      <c r="B8" s="38">
        <v>1</v>
      </c>
      <c r="C8" s="37" t="s">
        <v>56</v>
      </c>
      <c r="D8" s="39">
        <v>2.7182279999999999</v>
      </c>
    </row>
    <row r="9" spans="1:10" x14ac:dyDescent="0.45">
      <c r="A9" s="37">
        <v>3</v>
      </c>
      <c r="B9" s="38">
        <v>2</v>
      </c>
      <c r="C9" s="37" t="s">
        <v>57</v>
      </c>
      <c r="D9" s="39">
        <v>7.3890659999999997</v>
      </c>
    </row>
    <row r="11" spans="1:10" x14ac:dyDescent="0.45">
      <c r="A11" s="24" t="s">
        <v>84</v>
      </c>
    </row>
    <row r="12" spans="1:10" x14ac:dyDescent="0.45">
      <c r="C12" s="24" t="s">
        <v>41</v>
      </c>
      <c r="D12" s="24"/>
      <c r="E12" s="24" t="s">
        <v>42</v>
      </c>
      <c r="F12" s="24"/>
      <c r="G12" s="24" t="s">
        <v>43</v>
      </c>
      <c r="H12" s="24"/>
      <c r="I12" s="24" t="s">
        <v>44</v>
      </c>
    </row>
    <row r="13" spans="1:10" x14ac:dyDescent="0.45">
      <c r="A13" s="32" t="s">
        <v>46</v>
      </c>
      <c r="B13" s="32" t="s">
        <v>47</v>
      </c>
      <c r="C13" s="32" t="s">
        <v>48</v>
      </c>
      <c r="D13" s="32" t="s">
        <v>49</v>
      </c>
      <c r="E13" s="32" t="s">
        <v>50</v>
      </c>
      <c r="F13" s="32"/>
      <c r="G13" s="32" t="s">
        <v>51</v>
      </c>
      <c r="H13" s="32"/>
      <c r="I13" s="32" t="s">
        <v>85</v>
      </c>
      <c r="J13" s="33"/>
    </row>
    <row r="14" spans="1:10" x14ac:dyDescent="0.45">
      <c r="A14" s="33">
        <f>A6</f>
        <v>0</v>
      </c>
      <c r="B14" s="34">
        <f>B6</f>
        <v>0</v>
      </c>
      <c r="C14" s="33" t="s">
        <v>54</v>
      </c>
      <c r="D14" s="35">
        <f>D6</f>
        <v>1</v>
      </c>
      <c r="E14" s="33" t="s">
        <v>59</v>
      </c>
      <c r="F14" s="35">
        <f>(D15-D14)/(B15-B14)</f>
        <v>1.297444</v>
      </c>
      <c r="G14" s="33" t="s">
        <v>63</v>
      </c>
      <c r="H14" s="35">
        <f>(F15-F14)/(B16-B14)</f>
        <v>0.84156799999999965</v>
      </c>
      <c r="I14" s="33" t="s">
        <v>66</v>
      </c>
      <c r="J14" s="35">
        <f>(H15-H14)/(B17-B14)</f>
        <v>0.42315800000000026</v>
      </c>
    </row>
    <row r="15" spans="1:10" x14ac:dyDescent="0.45">
      <c r="A15" s="33">
        <f>A7</f>
        <v>1</v>
      </c>
      <c r="B15" s="34">
        <f>B7</f>
        <v>0.5</v>
      </c>
      <c r="C15" s="33" t="s">
        <v>55</v>
      </c>
      <c r="D15" s="35">
        <f>D7</f>
        <v>1.648722</v>
      </c>
      <c r="E15" s="33" t="s">
        <v>60</v>
      </c>
      <c r="F15" s="35">
        <f>(D16-D15)/(B16-B15)</f>
        <v>2.1390119999999997</v>
      </c>
      <c r="G15" s="33" t="s">
        <v>64</v>
      </c>
      <c r="H15" s="35">
        <f>(F16-F15)/(B17-B15)</f>
        <v>1.6878840000000002</v>
      </c>
      <c r="I15" s="33"/>
      <c r="J15" s="33"/>
    </row>
    <row r="16" spans="1:10" x14ac:dyDescent="0.45">
      <c r="A16" s="33">
        <f>A8</f>
        <v>2</v>
      </c>
      <c r="B16" s="34">
        <f>B8</f>
        <v>1</v>
      </c>
      <c r="C16" s="33" t="s">
        <v>56</v>
      </c>
      <c r="D16" s="35">
        <f>D8</f>
        <v>2.7182279999999999</v>
      </c>
      <c r="E16" s="33" t="s">
        <v>61</v>
      </c>
      <c r="F16" s="35">
        <f>(D17-D16)/(B17-B16)</f>
        <v>4.6708379999999998</v>
      </c>
      <c r="G16" s="33"/>
      <c r="H16" s="33"/>
      <c r="I16" s="33"/>
      <c r="J16" s="33"/>
    </row>
    <row r="17" spans="1:10" x14ac:dyDescent="0.45">
      <c r="A17" s="33">
        <f>A9</f>
        <v>3</v>
      </c>
      <c r="B17" s="34">
        <f>B9</f>
        <v>2</v>
      </c>
      <c r="C17" s="33" t="s">
        <v>57</v>
      </c>
      <c r="D17" s="35">
        <f>D9</f>
        <v>7.3890659999999997</v>
      </c>
      <c r="E17" s="33"/>
      <c r="F17" s="33"/>
      <c r="G17" s="33"/>
      <c r="H17" s="33"/>
      <c r="I17" s="33"/>
      <c r="J17" s="33"/>
    </row>
    <row r="21" spans="1:10" x14ac:dyDescent="0.45">
      <c r="A21" s="24" t="s">
        <v>86</v>
      </c>
    </row>
    <row r="22" spans="1:10" x14ac:dyDescent="0.45">
      <c r="A22" s="23" t="s">
        <v>9</v>
      </c>
      <c r="B22" s="29">
        <v>0.25</v>
      </c>
    </row>
    <row r="23" spans="1:10" x14ac:dyDescent="0.45">
      <c r="A23" s="23" t="s">
        <v>87</v>
      </c>
      <c r="B23" s="30">
        <f>D14+F14*(B22-B14)</f>
        <v>1.3243610000000001</v>
      </c>
    </row>
    <row r="25" spans="1:10" x14ac:dyDescent="0.45">
      <c r="A25" s="24" t="s">
        <v>88</v>
      </c>
    </row>
    <row r="26" spans="1:10" x14ac:dyDescent="0.45">
      <c r="A26" s="23" t="s">
        <v>9</v>
      </c>
      <c r="B26" s="29">
        <v>0.75</v>
      </c>
    </row>
    <row r="27" spans="1:10" x14ac:dyDescent="0.45">
      <c r="A27" s="23" t="s">
        <v>89</v>
      </c>
      <c r="B27" s="30">
        <f>D15+F15*(B26-B15)</f>
        <v>2.1834750000000001</v>
      </c>
    </row>
    <row r="29" spans="1:10" x14ac:dyDescent="0.45">
      <c r="A29" s="24" t="s">
        <v>90</v>
      </c>
    </row>
    <row r="30" spans="1:10" x14ac:dyDescent="0.45">
      <c r="A30" s="23" t="s">
        <v>13</v>
      </c>
      <c r="B30" s="27">
        <f>B6</f>
        <v>0</v>
      </c>
      <c r="C30" s="23" t="s">
        <v>14</v>
      </c>
      <c r="D30" s="28">
        <f>D6</f>
        <v>1</v>
      </c>
    </row>
    <row r="31" spans="1:10" x14ac:dyDescent="0.45">
      <c r="A31" s="23" t="s">
        <v>15</v>
      </c>
      <c r="B31" s="27">
        <f>B8</f>
        <v>1</v>
      </c>
      <c r="C31" s="23" t="s">
        <v>16</v>
      </c>
      <c r="D31" s="28">
        <f>D8</f>
        <v>2.7182279999999999</v>
      </c>
    </row>
    <row r="32" spans="1:10" x14ac:dyDescent="0.45">
      <c r="A32" s="23" t="s">
        <v>23</v>
      </c>
      <c r="B32" s="27">
        <f>B9</f>
        <v>2</v>
      </c>
      <c r="C32" s="23" t="s">
        <v>24</v>
      </c>
      <c r="D32" s="28">
        <f>D9</f>
        <v>7.3890659999999997</v>
      </c>
    </row>
    <row r="33" spans="1:6" x14ac:dyDescent="0.45">
      <c r="A33" s="23" t="s">
        <v>91</v>
      </c>
      <c r="B33" s="28">
        <f>D30</f>
        <v>1</v>
      </c>
    </row>
    <row r="34" spans="1:6" x14ac:dyDescent="0.45">
      <c r="A34" s="23" t="s">
        <v>92</v>
      </c>
      <c r="B34" s="28">
        <f>(D31-D30)/(B31-B30)</f>
        <v>1.7182279999999999</v>
      </c>
    </row>
    <row r="35" spans="1:6" x14ac:dyDescent="0.45">
      <c r="A35" s="23" t="s">
        <v>93</v>
      </c>
      <c r="B35" s="28">
        <f>((D32-D31)/(B32-B31)-B34)/(B32-B30)</f>
        <v>1.476305</v>
      </c>
    </row>
    <row r="36" spans="1:6" x14ac:dyDescent="0.45">
      <c r="A36" s="23" t="s">
        <v>94</v>
      </c>
      <c r="B36" s="30">
        <f>B33+B34*(B22-B30)+B35*(B22-B30)*(B22-B31)</f>
        <v>1.1527498125</v>
      </c>
    </row>
    <row r="37" spans="1:6" x14ac:dyDescent="0.45">
      <c r="A37" s="23" t="s">
        <v>95</v>
      </c>
      <c r="B37" s="30">
        <f>B33+B34*(B26-B30)+B35*(B26-B30)*(B26-B31)</f>
        <v>2.0118638124999997</v>
      </c>
    </row>
    <row r="39" spans="1:6" x14ac:dyDescent="0.45">
      <c r="A39" s="24" t="s">
        <v>96</v>
      </c>
    </row>
    <row r="40" spans="1:6" ht="36" customHeight="1" x14ac:dyDescent="0.45">
      <c r="A40" s="31" t="s">
        <v>97</v>
      </c>
      <c r="B40" s="31"/>
      <c r="C40" s="31"/>
      <c r="D40" s="31"/>
      <c r="E40" s="31"/>
      <c r="F40" s="31"/>
    </row>
    <row r="41" spans="1:6" x14ac:dyDescent="0.45">
      <c r="A41" s="31"/>
      <c r="B41" s="31"/>
      <c r="C41" s="31"/>
      <c r="D41" s="31"/>
      <c r="E41" s="31"/>
      <c r="F41" s="31"/>
    </row>
    <row r="42" spans="1:6" x14ac:dyDescent="0.45">
      <c r="A42" s="31"/>
      <c r="B42" s="31"/>
      <c r="C42" s="31"/>
      <c r="D42" s="31"/>
      <c r="E42" s="31"/>
      <c r="F42" s="31"/>
    </row>
    <row r="44" spans="1:6" x14ac:dyDescent="0.45">
      <c r="A44" s="24" t="s">
        <v>98</v>
      </c>
    </row>
    <row r="45" spans="1:6" x14ac:dyDescent="0.45">
      <c r="A45" s="23" t="s">
        <v>99</v>
      </c>
    </row>
    <row r="46" spans="1:6" x14ac:dyDescent="0.45">
      <c r="A46" s="23" t="s">
        <v>91</v>
      </c>
      <c r="B46" s="28">
        <f>D14</f>
        <v>1</v>
      </c>
    </row>
    <row r="47" spans="1:6" x14ac:dyDescent="0.45">
      <c r="A47" s="23" t="s">
        <v>92</v>
      </c>
      <c r="B47" s="28">
        <f>F14</f>
        <v>1.297444</v>
      </c>
    </row>
    <row r="48" spans="1:6" x14ac:dyDescent="0.45">
      <c r="A48" s="23" t="s">
        <v>93</v>
      </c>
      <c r="B48" s="28">
        <f>H14</f>
        <v>0.84156799999999965</v>
      </c>
    </row>
    <row r="49" spans="1:2" x14ac:dyDescent="0.45">
      <c r="A49" s="23" t="s">
        <v>100</v>
      </c>
      <c r="B49" s="28">
        <f>J14</f>
        <v>0.42315800000000026</v>
      </c>
    </row>
    <row r="50" spans="1:2" x14ac:dyDescent="0.45">
      <c r="A50" s="23" t="s">
        <v>101</v>
      </c>
      <c r="B50" s="30">
        <f>B46+B47*(B22-B14)+B48*(B22-B14)*(B22-B15)+B49*(B22-B14)*(B22-B15)*(B22-B16)</f>
        <v>1.2915985312500002</v>
      </c>
    </row>
    <row r="53" spans="1:2" x14ac:dyDescent="0.45">
      <c r="A53" s="24" t="s">
        <v>102</v>
      </c>
    </row>
  </sheetData>
  <mergeCells count="2">
    <mergeCell ref="A40:F42"/>
    <mergeCell ref="B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Ejemplo 1</vt:lpstr>
      <vt:lpstr>Ejemplo 2</vt:lpstr>
      <vt:lpstr>newton</vt:lpstr>
      <vt:lpstr>ejercicio4.2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YASEN CUTIPA MAYHUA</dc:creator>
  <cp:lastModifiedBy>YASEN CUTIPA MAYHUA</cp:lastModifiedBy>
  <dcterms:created xsi:type="dcterms:W3CDTF">2026-10-12T13:15:36Z</dcterms:created>
  <dcterms:modified xsi:type="dcterms:W3CDTF">2026-10-14T19:46:41Z</dcterms:modified>
</cp:coreProperties>
</file>