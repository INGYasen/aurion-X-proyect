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ección" sheetId="1" state="visible" r:id="rId1"/>
    <sheet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00"/>
    <numFmt numFmtId="165" formatCode="0.0000000000000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sz val="10"/>
    </font>
    <font>
      <b val="1"/>
      <color rgb="00FFFFFF"/>
      <sz val="11"/>
    </font>
    <font>
      <name val="Consolas"/>
      <sz val="10"/>
    </font>
    <font>
      <b val="1"/>
      <color rgb="00C00000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" pivotButton="0" quotePrefix="0" xfId="0"/>
    <xf numFmtId="11" fontId="0" fillId="0" borderId="1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164" fontId="4" fillId="0" borderId="1" pivotButton="0" quotePrefix="0" xfId="0"/>
    <xf numFmtId="164" fontId="5" fillId="0" borderId="0" pivotButton="0" quotePrefix="0" xfId="0"/>
    <xf numFmtId="1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2" customWidth="1" min="8" max="8"/>
    <col width="8" customWidth="1" min="9" max="9"/>
  </cols>
  <sheetData>
    <row r="1">
      <c r="A1" s="1" t="inlineStr">
        <is>
          <t>Ejemplo — Método de bisección</t>
        </is>
      </c>
    </row>
    <row r="3">
      <c r="A3" s="2" t="inlineStr">
        <is>
          <t>Enunciado (ejemplo)</t>
        </is>
      </c>
    </row>
    <row r="4">
      <c r="A4" s="3" t="inlineStr">
        <is>
          <t>Hallar una raíz de f(x) = x³ − x − 2 en el intervalo [1, 2] con ε = 10⁻⁶.</t>
        </is>
      </c>
    </row>
    <row r="6">
      <c r="A6" s="2" t="inlineStr">
        <is>
          <t>Parámetros</t>
        </is>
      </c>
    </row>
    <row r="7">
      <c r="A7" s="2" t="inlineStr">
        <is>
          <t>a₀ (extremo izq.)</t>
        </is>
      </c>
      <c r="B7" s="4" t="n">
        <v>1</v>
      </c>
    </row>
    <row r="8">
      <c r="A8" s="2" t="inlineStr">
        <is>
          <t>b₀ (extremo der.)</t>
        </is>
      </c>
      <c r="B8" s="4" t="n">
        <v>2</v>
      </c>
    </row>
    <row r="9">
      <c r="A9" s="2" t="inlineStr">
        <is>
          <t>Tolerancia ε</t>
        </is>
      </c>
      <c r="B9" s="5" t="n">
        <v>1e-06</v>
      </c>
    </row>
    <row r="10">
      <c r="A10" s="2" t="inlineStr">
        <is>
          <t>Máx. iteraciones</t>
        </is>
      </c>
      <c r="B10" s="4" t="n">
        <v>50</v>
      </c>
    </row>
    <row r="12">
      <c r="A12" s="2" t="inlineStr">
        <is>
          <t>Definición de f(x) en Excel</t>
        </is>
      </c>
    </row>
    <row r="13">
      <c r="A13" t="inlineStr">
        <is>
          <t>En la columna f(x) use: =A^3 - A - 2  (reemplace A por la celda de x)</t>
        </is>
      </c>
    </row>
    <row r="15">
      <c r="A15" s="2" t="inlineStr">
        <is>
          <t>Tabla de iteraciones</t>
        </is>
      </c>
    </row>
    <row r="16">
      <c r="A16" s="6" t="inlineStr">
        <is>
          <t>i</t>
        </is>
      </c>
      <c r="B16" s="6" t="inlineStr">
        <is>
          <t>a</t>
        </is>
      </c>
      <c r="C16" s="6" t="inlineStr">
        <is>
          <t>b</t>
        </is>
      </c>
      <c r="D16" s="6" t="inlineStr">
        <is>
          <t>c = (a+b)/2</t>
        </is>
      </c>
      <c r="E16" s="6" t="inlineStr">
        <is>
          <t>f(a)</t>
        </is>
      </c>
      <c r="F16" s="6" t="inlineStr">
        <is>
          <t>f(b)</t>
        </is>
      </c>
      <c r="G16" s="6" t="inlineStr">
        <is>
          <t>f(c)</t>
        </is>
      </c>
      <c r="H16" s="6" t="inlineStr">
        <is>
          <t>|b−a|/2</t>
        </is>
      </c>
      <c r="I16" s="6" t="inlineStr">
        <is>
          <t>¿Parar?</t>
        </is>
      </c>
    </row>
    <row r="17">
      <c r="A17" s="7" t="n">
        <v>0</v>
      </c>
      <c r="B17" s="8">
        <f>$B$7</f>
        <v/>
      </c>
      <c r="C17" s="8">
        <f>$B$8</f>
        <v/>
      </c>
      <c r="D17" s="8">
        <f>(B17+C17)/2</f>
        <v/>
      </c>
      <c r="E17" s="8">
        <f>B17^3-B17-2</f>
        <v/>
      </c>
      <c r="F17" s="8">
        <f>C17^3-C17-2</f>
        <v/>
      </c>
      <c r="G17" s="8">
        <f>D17^3-D17-2</f>
        <v/>
      </c>
      <c r="H17" s="8">
        <f>(C17-B17)/2</f>
        <v/>
      </c>
      <c r="I17" s="7">
        <f>IF(H17&lt;=$B$9,"Sí","No")</f>
        <v/>
      </c>
    </row>
    <row r="18">
      <c r="A18" s="7" t="n">
        <v>1</v>
      </c>
      <c r="B18" s="8">
        <f>IF(E17*G17&lt;0,B17,D17)</f>
        <v/>
      </c>
      <c r="C18" s="8">
        <f>IF(E17*G17&lt;0,D17,C17)</f>
        <v/>
      </c>
      <c r="D18" s="8">
        <f>(B18+C18)/2</f>
        <v/>
      </c>
      <c r="E18" s="8">
        <f>B18^3-B18-2</f>
        <v/>
      </c>
      <c r="F18" s="8">
        <f>C18^3-C18-2</f>
        <v/>
      </c>
      <c r="G18" s="8">
        <f>D18^3-D18-2</f>
        <v/>
      </c>
      <c r="H18" s="8">
        <f>(C18-B18)/2</f>
        <v/>
      </c>
      <c r="I18" s="7">
        <f>IF(H18&lt;=$B$9,"Sí","No")</f>
        <v/>
      </c>
    </row>
    <row r="19">
      <c r="A19" s="7" t="n">
        <v>2</v>
      </c>
      <c r="B19" s="8">
        <f>IF(E18*G18&lt;0,B18,D18)</f>
        <v/>
      </c>
      <c r="C19" s="8">
        <f>IF(E18*G18&lt;0,D18,C18)</f>
        <v/>
      </c>
      <c r="D19" s="8">
        <f>(B19+C19)/2</f>
        <v/>
      </c>
      <c r="E19" s="8">
        <f>B19^3-B19-2</f>
        <v/>
      </c>
      <c r="F19" s="8">
        <f>C19^3-C19-2</f>
        <v/>
      </c>
      <c r="G19" s="8">
        <f>D19^3-D19-2</f>
        <v/>
      </c>
      <c r="H19" s="8">
        <f>(C19-B19)/2</f>
        <v/>
      </c>
      <c r="I19" s="7">
        <f>IF(H19&lt;=$B$9,"Sí","No")</f>
        <v/>
      </c>
    </row>
    <row r="20">
      <c r="A20" s="7" t="n">
        <v>3</v>
      </c>
      <c r="B20" s="8">
        <f>IF(E19*G19&lt;0,B19,D19)</f>
        <v/>
      </c>
      <c r="C20" s="8">
        <f>IF(E19*G19&lt;0,D19,C19)</f>
        <v/>
      </c>
      <c r="D20" s="8">
        <f>(B20+C20)/2</f>
        <v/>
      </c>
      <c r="E20" s="8">
        <f>B20^3-B20-2</f>
        <v/>
      </c>
      <c r="F20" s="8">
        <f>C20^3-C20-2</f>
        <v/>
      </c>
      <c r="G20" s="8">
        <f>D20^3-D20-2</f>
        <v/>
      </c>
      <c r="H20" s="8">
        <f>(C20-B20)/2</f>
        <v/>
      </c>
      <c r="I20" s="7">
        <f>IF(H20&lt;=$B$9,"Sí","No")</f>
        <v/>
      </c>
    </row>
    <row r="21">
      <c r="A21" s="7" t="n">
        <v>4</v>
      </c>
      <c r="B21" s="8">
        <f>IF(E20*G20&lt;0,B20,D20)</f>
        <v/>
      </c>
      <c r="C21" s="8">
        <f>IF(E20*G20&lt;0,D20,C20)</f>
        <v/>
      </c>
      <c r="D21" s="8">
        <f>(B21+C21)/2</f>
        <v/>
      </c>
      <c r="E21" s="8">
        <f>B21^3-B21-2</f>
        <v/>
      </c>
      <c r="F21" s="8">
        <f>C21^3-C21-2</f>
        <v/>
      </c>
      <c r="G21" s="8">
        <f>D21^3-D21-2</f>
        <v/>
      </c>
      <c r="H21" s="8">
        <f>(C21-B21)/2</f>
        <v/>
      </c>
      <c r="I21" s="7">
        <f>IF(H21&lt;=$B$9,"Sí","No")</f>
        <v/>
      </c>
    </row>
    <row r="22">
      <c r="A22" s="7" t="n">
        <v>5</v>
      </c>
      <c r="B22" s="8">
        <f>IF(E21*G21&lt;0,B21,D21)</f>
        <v/>
      </c>
      <c r="C22" s="8">
        <f>IF(E21*G21&lt;0,D21,C21)</f>
        <v/>
      </c>
      <c r="D22" s="8">
        <f>(B22+C22)/2</f>
        <v/>
      </c>
      <c r="E22" s="8">
        <f>B22^3-B22-2</f>
        <v/>
      </c>
      <c r="F22" s="8">
        <f>C22^3-C22-2</f>
        <v/>
      </c>
      <c r="G22" s="8">
        <f>D22^3-D22-2</f>
        <v/>
      </c>
      <c r="H22" s="8">
        <f>(C22-B22)/2</f>
        <v/>
      </c>
      <c r="I22" s="7">
        <f>IF(H22&lt;=$B$9,"Sí","No")</f>
        <v/>
      </c>
    </row>
    <row r="23">
      <c r="A23" s="7" t="n">
        <v>6</v>
      </c>
      <c r="B23" s="8">
        <f>IF(E22*G22&lt;0,B22,D22)</f>
        <v/>
      </c>
      <c r="C23" s="8">
        <f>IF(E22*G22&lt;0,D22,C22)</f>
        <v/>
      </c>
      <c r="D23" s="8">
        <f>(B23+C23)/2</f>
        <v/>
      </c>
      <c r="E23" s="8">
        <f>B23^3-B23-2</f>
        <v/>
      </c>
      <c r="F23" s="8">
        <f>C23^3-C23-2</f>
        <v/>
      </c>
      <c r="G23" s="8">
        <f>D23^3-D23-2</f>
        <v/>
      </c>
      <c r="H23" s="8">
        <f>(C23-B23)/2</f>
        <v/>
      </c>
      <c r="I23" s="7">
        <f>IF(H23&lt;=$B$9,"Sí","No")</f>
        <v/>
      </c>
    </row>
    <row r="24">
      <c r="A24" s="7" t="n">
        <v>7</v>
      </c>
      <c r="B24" s="8">
        <f>IF(E23*G23&lt;0,B23,D23)</f>
        <v/>
      </c>
      <c r="C24" s="8">
        <f>IF(E23*G23&lt;0,D23,C23)</f>
        <v/>
      </c>
      <c r="D24" s="8">
        <f>(B24+C24)/2</f>
        <v/>
      </c>
      <c r="E24" s="8">
        <f>B24^3-B24-2</f>
        <v/>
      </c>
      <c r="F24" s="8">
        <f>C24^3-C24-2</f>
        <v/>
      </c>
      <c r="G24" s="8">
        <f>D24^3-D24-2</f>
        <v/>
      </c>
      <c r="H24" s="8">
        <f>(C24-B24)/2</f>
        <v/>
      </c>
      <c r="I24" s="7">
        <f>IF(H24&lt;=$B$9,"Sí","No")</f>
        <v/>
      </c>
    </row>
    <row r="25">
      <c r="A25" s="7" t="n">
        <v>8</v>
      </c>
      <c r="B25" s="8">
        <f>IF(E24*G24&lt;0,B24,D24)</f>
        <v/>
      </c>
      <c r="C25" s="8">
        <f>IF(E24*G24&lt;0,D24,C24)</f>
        <v/>
      </c>
      <c r="D25" s="8">
        <f>(B25+C25)/2</f>
        <v/>
      </c>
      <c r="E25" s="8">
        <f>B25^3-B25-2</f>
        <v/>
      </c>
      <c r="F25" s="8">
        <f>C25^3-C25-2</f>
        <v/>
      </c>
      <c r="G25" s="8">
        <f>D25^3-D25-2</f>
        <v/>
      </c>
      <c r="H25" s="8">
        <f>(C25-B25)/2</f>
        <v/>
      </c>
      <c r="I25" s="7">
        <f>IF(H25&lt;=$B$9,"Sí","No")</f>
        <v/>
      </c>
    </row>
    <row r="26">
      <c r="A26" s="7" t="n">
        <v>9</v>
      </c>
      <c r="B26" s="8">
        <f>IF(E25*G25&lt;0,B25,D25)</f>
        <v/>
      </c>
      <c r="C26" s="8">
        <f>IF(E25*G25&lt;0,D25,C25)</f>
        <v/>
      </c>
      <c r="D26" s="8">
        <f>(B26+C26)/2</f>
        <v/>
      </c>
      <c r="E26" s="8">
        <f>B26^3-B26-2</f>
        <v/>
      </c>
      <c r="F26" s="8">
        <f>C26^3-C26-2</f>
        <v/>
      </c>
      <c r="G26" s="8">
        <f>D26^3-D26-2</f>
        <v/>
      </c>
      <c r="H26" s="8">
        <f>(C26-B26)/2</f>
        <v/>
      </c>
      <c r="I26" s="7">
        <f>IF(H26&lt;=$B$9,"Sí","No")</f>
        <v/>
      </c>
    </row>
    <row r="27">
      <c r="A27" s="7" t="n">
        <v>10</v>
      </c>
      <c r="B27" s="8">
        <f>IF(E26*G26&lt;0,B26,D26)</f>
        <v/>
      </c>
      <c r="C27" s="8">
        <f>IF(E26*G26&lt;0,D26,C26)</f>
        <v/>
      </c>
      <c r="D27" s="8">
        <f>(B27+C27)/2</f>
        <v/>
      </c>
      <c r="E27" s="8">
        <f>B27^3-B27-2</f>
        <v/>
      </c>
      <c r="F27" s="8">
        <f>C27^3-C27-2</f>
        <v/>
      </c>
      <c r="G27" s="8">
        <f>D27^3-D27-2</f>
        <v/>
      </c>
      <c r="H27" s="8">
        <f>(C27-B27)/2</f>
        <v/>
      </c>
      <c r="I27" s="7">
        <f>IF(H27&lt;=$B$9,"Sí","No")</f>
        <v/>
      </c>
    </row>
    <row r="28">
      <c r="A28" s="7" t="n">
        <v>11</v>
      </c>
      <c r="B28" s="8">
        <f>IF(E27*G27&lt;0,B27,D27)</f>
        <v/>
      </c>
      <c r="C28" s="8">
        <f>IF(E27*G27&lt;0,D27,C27)</f>
        <v/>
      </c>
      <c r="D28" s="8">
        <f>(B28+C28)/2</f>
        <v/>
      </c>
      <c r="E28" s="8">
        <f>B28^3-B28-2</f>
        <v/>
      </c>
      <c r="F28" s="8">
        <f>C28^3-C28-2</f>
        <v/>
      </c>
      <c r="G28" s="8">
        <f>D28^3-D28-2</f>
        <v/>
      </c>
      <c r="H28" s="8">
        <f>(C28-B28)/2</f>
        <v/>
      </c>
      <c r="I28" s="7">
        <f>IF(H28&lt;=$B$9,"Sí","No")</f>
        <v/>
      </c>
    </row>
    <row r="29">
      <c r="A29" s="7" t="n">
        <v>12</v>
      </c>
      <c r="B29" s="8">
        <f>IF(E28*G28&lt;0,B28,D28)</f>
        <v/>
      </c>
      <c r="C29" s="8">
        <f>IF(E28*G28&lt;0,D28,C28)</f>
        <v/>
      </c>
      <c r="D29" s="8">
        <f>(B29+C29)/2</f>
        <v/>
      </c>
      <c r="E29" s="8">
        <f>B29^3-B29-2</f>
        <v/>
      </c>
      <c r="F29" s="8">
        <f>C29^3-C29-2</f>
        <v/>
      </c>
      <c r="G29" s="8">
        <f>D29^3-D29-2</f>
        <v/>
      </c>
      <c r="H29" s="8">
        <f>(C29-B29)/2</f>
        <v/>
      </c>
      <c r="I29" s="7">
        <f>IF(H29&lt;=$B$9,"Sí","No")</f>
        <v/>
      </c>
    </row>
    <row r="30">
      <c r="A30" s="7" t="n">
        <v>13</v>
      </c>
      <c r="B30" s="8">
        <f>IF(E29*G29&lt;0,B29,D29)</f>
        <v/>
      </c>
      <c r="C30" s="8">
        <f>IF(E29*G29&lt;0,D29,C29)</f>
        <v/>
      </c>
      <c r="D30" s="8">
        <f>(B30+C30)/2</f>
        <v/>
      </c>
      <c r="E30" s="8">
        <f>B30^3-B30-2</f>
        <v/>
      </c>
      <c r="F30" s="8">
        <f>C30^3-C30-2</f>
        <v/>
      </c>
      <c r="G30" s="8">
        <f>D30^3-D30-2</f>
        <v/>
      </c>
      <c r="H30" s="8">
        <f>(C30-B30)/2</f>
        <v/>
      </c>
      <c r="I30" s="7">
        <f>IF(H30&lt;=$B$9,"Sí","No")</f>
        <v/>
      </c>
    </row>
    <row r="31">
      <c r="A31" s="7" t="n">
        <v>14</v>
      </c>
      <c r="B31" s="8">
        <f>IF(E30*G30&lt;0,B30,D30)</f>
        <v/>
      </c>
      <c r="C31" s="8">
        <f>IF(E30*G30&lt;0,D30,C30)</f>
        <v/>
      </c>
      <c r="D31" s="8">
        <f>(B31+C31)/2</f>
        <v/>
      </c>
      <c r="E31" s="8">
        <f>B31^3-B31-2</f>
        <v/>
      </c>
      <c r="F31" s="8">
        <f>C31^3-C31-2</f>
        <v/>
      </c>
      <c r="G31" s="8">
        <f>D31^3-D31-2</f>
        <v/>
      </c>
      <c r="H31" s="8">
        <f>(C31-B31)/2</f>
        <v/>
      </c>
      <c r="I31" s="7">
        <f>IF(H31&lt;=$B$9,"Sí","No")</f>
        <v/>
      </c>
    </row>
    <row r="32">
      <c r="A32" s="7" t="n">
        <v>15</v>
      </c>
      <c r="B32" s="8">
        <f>IF(E31*G31&lt;0,B31,D31)</f>
        <v/>
      </c>
      <c r="C32" s="8">
        <f>IF(E31*G31&lt;0,D31,C31)</f>
        <v/>
      </c>
      <c r="D32" s="8">
        <f>(B32+C32)/2</f>
        <v/>
      </c>
      <c r="E32" s="8">
        <f>B32^3-B32-2</f>
        <v/>
      </c>
      <c r="F32" s="8">
        <f>C32^3-C32-2</f>
        <v/>
      </c>
      <c r="G32" s="8">
        <f>D32^3-D32-2</f>
        <v/>
      </c>
      <c r="H32" s="8">
        <f>(C32-B32)/2</f>
        <v/>
      </c>
      <c r="I32" s="7">
        <f>IF(H32&lt;=$B$9,"Sí","No")</f>
        <v/>
      </c>
    </row>
    <row r="33">
      <c r="A33" s="7" t="n">
        <v>16</v>
      </c>
      <c r="B33" s="8">
        <f>IF(E32*G32&lt;0,B32,D32)</f>
        <v/>
      </c>
      <c r="C33" s="8">
        <f>IF(E32*G32&lt;0,D32,C32)</f>
        <v/>
      </c>
      <c r="D33" s="8">
        <f>(B33+C33)/2</f>
        <v/>
      </c>
      <c r="E33" s="8">
        <f>B33^3-B33-2</f>
        <v/>
      </c>
      <c r="F33" s="8">
        <f>C33^3-C33-2</f>
        <v/>
      </c>
      <c r="G33" s="8">
        <f>D33^3-D33-2</f>
        <v/>
      </c>
      <c r="H33" s="8">
        <f>(C33-B33)/2</f>
        <v/>
      </c>
      <c r="I33" s="7">
        <f>IF(H33&lt;=$B$9,"Sí","No")</f>
        <v/>
      </c>
    </row>
    <row r="34">
      <c r="A34" s="7" t="n">
        <v>17</v>
      </c>
      <c r="B34" s="8">
        <f>IF(E33*G33&lt;0,B33,D33)</f>
        <v/>
      </c>
      <c r="C34" s="8">
        <f>IF(E33*G33&lt;0,D33,C33)</f>
        <v/>
      </c>
      <c r="D34" s="8">
        <f>(B34+C34)/2</f>
        <v/>
      </c>
      <c r="E34" s="8">
        <f>B34^3-B34-2</f>
        <v/>
      </c>
      <c r="F34" s="8">
        <f>C34^3-C34-2</f>
        <v/>
      </c>
      <c r="G34" s="8">
        <f>D34^3-D34-2</f>
        <v/>
      </c>
      <c r="H34" s="8">
        <f>(C34-B34)/2</f>
        <v/>
      </c>
      <c r="I34" s="7">
        <f>IF(H34&lt;=$B$9,"Sí","No")</f>
        <v/>
      </c>
    </row>
    <row r="35">
      <c r="A35" s="7" t="n">
        <v>18</v>
      </c>
      <c r="B35" s="8">
        <f>IF(E34*G34&lt;0,B34,D34)</f>
        <v/>
      </c>
      <c r="C35" s="8">
        <f>IF(E34*G34&lt;0,D34,C34)</f>
        <v/>
      </c>
      <c r="D35" s="8">
        <f>(B35+C35)/2</f>
        <v/>
      </c>
      <c r="E35" s="8">
        <f>B35^3-B35-2</f>
        <v/>
      </c>
      <c r="F35" s="8">
        <f>C35^3-C35-2</f>
        <v/>
      </c>
      <c r="G35" s="8">
        <f>D35^3-D35-2</f>
        <v/>
      </c>
      <c r="H35" s="8">
        <f>(C35-B35)/2</f>
        <v/>
      </c>
      <c r="I35" s="7">
        <f>IF(H35&lt;=$B$9,"Sí","No")</f>
        <v/>
      </c>
    </row>
    <row r="36">
      <c r="A36" s="7" t="n">
        <v>19</v>
      </c>
      <c r="B36" s="8">
        <f>IF(E35*G35&lt;0,B35,D35)</f>
        <v/>
      </c>
      <c r="C36" s="8">
        <f>IF(E35*G35&lt;0,D35,C35)</f>
        <v/>
      </c>
      <c r="D36" s="8">
        <f>(B36+C36)/2</f>
        <v/>
      </c>
      <c r="E36" s="8">
        <f>B36^3-B36-2</f>
        <v/>
      </c>
      <c r="F36" s="8">
        <f>C36^3-C36-2</f>
        <v/>
      </c>
      <c r="G36" s="8">
        <f>D36^3-D36-2</f>
        <v/>
      </c>
      <c r="H36" s="8">
        <f>(C36-B36)/2</f>
        <v/>
      </c>
      <c r="I36" s="7">
        <f>IF(H36&lt;=$B$9,"Sí","No")</f>
        <v/>
      </c>
    </row>
    <row r="37">
      <c r="A37" s="7" t="n">
        <v>20</v>
      </c>
      <c r="B37" s="8">
        <f>IF(E36*G36&lt;0,B36,D36)</f>
        <v/>
      </c>
      <c r="C37" s="8">
        <f>IF(E36*G36&lt;0,D36,C36)</f>
        <v/>
      </c>
      <c r="D37" s="8">
        <f>(B37+C37)/2</f>
        <v/>
      </c>
      <c r="E37" s="8">
        <f>B37^3-B37-2</f>
        <v/>
      </c>
      <c r="F37" s="8">
        <f>C37^3-C37-2</f>
        <v/>
      </c>
      <c r="G37" s="8">
        <f>D37^3-D37-2</f>
        <v/>
      </c>
      <c r="H37" s="8">
        <f>(C37-B37)/2</f>
        <v/>
      </c>
      <c r="I37" s="7">
        <f>IF(H37&lt;=$B$9,"Sí","No")</f>
        <v/>
      </c>
    </row>
    <row r="38">
      <c r="A38" s="7" t="n">
        <v>21</v>
      </c>
      <c r="B38" s="8">
        <f>IF(E37*G37&lt;0,B37,D37)</f>
        <v/>
      </c>
      <c r="C38" s="8">
        <f>IF(E37*G37&lt;0,D37,C37)</f>
        <v/>
      </c>
      <c r="D38" s="8">
        <f>(B38+C38)/2</f>
        <v/>
      </c>
      <c r="E38" s="8">
        <f>B38^3-B38-2</f>
        <v/>
      </c>
      <c r="F38" s="8">
        <f>C38^3-C38-2</f>
        <v/>
      </c>
      <c r="G38" s="8">
        <f>D38^3-D38-2</f>
        <v/>
      </c>
      <c r="H38" s="8">
        <f>(C38-B38)/2</f>
        <v/>
      </c>
      <c r="I38" s="7">
        <f>IF(H38&lt;=$B$9,"Sí","No")</f>
        <v/>
      </c>
    </row>
    <row r="39">
      <c r="A39" s="7" t="n">
        <v>22</v>
      </c>
      <c r="B39" s="8">
        <f>IF(E38*G38&lt;0,B38,D38)</f>
        <v/>
      </c>
      <c r="C39" s="8">
        <f>IF(E38*G38&lt;0,D38,C38)</f>
        <v/>
      </c>
      <c r="D39" s="8">
        <f>(B39+C39)/2</f>
        <v/>
      </c>
      <c r="E39" s="8">
        <f>B39^3-B39-2</f>
        <v/>
      </c>
      <c r="F39" s="8">
        <f>C39^3-C39-2</f>
        <v/>
      </c>
      <c r="G39" s="8">
        <f>D39^3-D39-2</f>
        <v/>
      </c>
      <c r="H39" s="8">
        <f>(C39-B39)/2</f>
        <v/>
      </c>
      <c r="I39" s="7">
        <f>IF(H39&lt;=$B$9,"Sí","No")</f>
        <v/>
      </c>
    </row>
    <row r="40">
      <c r="A40" s="7" t="n">
        <v>23</v>
      </c>
      <c r="B40" s="8">
        <f>IF(E39*G39&lt;0,B39,D39)</f>
        <v/>
      </c>
      <c r="C40" s="8">
        <f>IF(E39*G39&lt;0,D39,C39)</f>
        <v/>
      </c>
      <c r="D40" s="8">
        <f>(B40+C40)/2</f>
        <v/>
      </c>
      <c r="E40" s="8">
        <f>B40^3-B40-2</f>
        <v/>
      </c>
      <c r="F40" s="8">
        <f>C40^3-C40-2</f>
        <v/>
      </c>
      <c r="G40" s="8">
        <f>D40^3-D40-2</f>
        <v/>
      </c>
      <c r="H40" s="8">
        <f>(C40-B40)/2</f>
        <v/>
      </c>
      <c r="I40" s="7">
        <f>IF(H40&lt;=$B$9,"Sí","No")</f>
        <v/>
      </c>
    </row>
    <row r="41">
      <c r="A41" s="7" t="n">
        <v>24</v>
      </c>
      <c r="B41" s="8">
        <f>IF(E40*G40&lt;0,B40,D40)</f>
        <v/>
      </c>
      <c r="C41" s="8">
        <f>IF(E40*G40&lt;0,D40,C40)</f>
        <v/>
      </c>
      <c r="D41" s="8">
        <f>(B41+C41)/2</f>
        <v/>
      </c>
      <c r="E41" s="8">
        <f>B41^3-B41-2</f>
        <v/>
      </c>
      <c r="F41" s="8">
        <f>C41^3-C41-2</f>
        <v/>
      </c>
      <c r="G41" s="8">
        <f>D41^3-D41-2</f>
        <v/>
      </c>
      <c r="H41" s="8">
        <f>(C41-B41)/2</f>
        <v/>
      </c>
      <c r="I41" s="7">
        <f>IF(H41&lt;=$B$9,"Sí","No")</f>
        <v/>
      </c>
    </row>
    <row r="42">
      <c r="A42" s="7" t="n">
        <v>25</v>
      </c>
      <c r="B42" s="8">
        <f>IF(E41*G41&lt;0,B41,D41)</f>
        <v/>
      </c>
      <c r="C42" s="8">
        <f>IF(E41*G41&lt;0,D41,C41)</f>
        <v/>
      </c>
      <c r="D42" s="8">
        <f>(B42+C42)/2</f>
        <v/>
      </c>
      <c r="E42" s="8">
        <f>B42^3-B42-2</f>
        <v/>
      </c>
      <c r="F42" s="8">
        <f>C42^3-C42-2</f>
        <v/>
      </c>
      <c r="G42" s="8">
        <f>D42^3-D42-2</f>
        <v/>
      </c>
      <c r="H42" s="8">
        <f>(C42-B42)/2</f>
        <v/>
      </c>
      <c r="I42" s="7">
        <f>IF(H42&lt;=$B$9,"Sí","No")</f>
        <v/>
      </c>
    </row>
    <row r="43">
      <c r="A43" s="7" t="n">
        <v>26</v>
      </c>
      <c r="B43" s="8">
        <f>IF(E42*G42&lt;0,B42,D42)</f>
        <v/>
      </c>
      <c r="C43" s="8">
        <f>IF(E42*G42&lt;0,D42,C42)</f>
        <v/>
      </c>
      <c r="D43" s="8">
        <f>(B43+C43)/2</f>
        <v/>
      </c>
      <c r="E43" s="8">
        <f>B43^3-B43-2</f>
        <v/>
      </c>
      <c r="F43" s="8">
        <f>C43^3-C43-2</f>
        <v/>
      </c>
      <c r="G43" s="8">
        <f>D43^3-D43-2</f>
        <v/>
      </c>
      <c r="H43" s="8">
        <f>(C43-B43)/2</f>
        <v/>
      </c>
      <c r="I43" s="7">
        <f>IF(H43&lt;=$B$9,"Sí","No")</f>
        <v/>
      </c>
    </row>
    <row r="44">
      <c r="A44" s="7" t="n">
        <v>27</v>
      </c>
      <c r="B44" s="8">
        <f>IF(E43*G43&lt;0,B43,D43)</f>
        <v/>
      </c>
      <c r="C44" s="8">
        <f>IF(E43*G43&lt;0,D43,C43)</f>
        <v/>
      </c>
      <c r="D44" s="8">
        <f>(B44+C44)/2</f>
        <v/>
      </c>
      <c r="E44" s="8">
        <f>B44^3-B44-2</f>
        <v/>
      </c>
      <c r="F44" s="8">
        <f>C44^3-C44-2</f>
        <v/>
      </c>
      <c r="G44" s="8">
        <f>D44^3-D44-2</f>
        <v/>
      </c>
      <c r="H44" s="8">
        <f>(C44-B44)/2</f>
        <v/>
      </c>
      <c r="I44" s="7">
        <f>IF(H44&lt;=$B$9,"Sí","No")</f>
        <v/>
      </c>
    </row>
    <row r="45">
      <c r="A45" s="7" t="n">
        <v>28</v>
      </c>
      <c r="B45" s="8">
        <f>IF(E44*G44&lt;0,B44,D44)</f>
        <v/>
      </c>
      <c r="C45" s="8">
        <f>IF(E44*G44&lt;0,D44,C44)</f>
        <v/>
      </c>
      <c r="D45" s="8">
        <f>(B45+C45)/2</f>
        <v/>
      </c>
      <c r="E45" s="8">
        <f>B45^3-B45-2</f>
        <v/>
      </c>
      <c r="F45" s="8">
        <f>C45^3-C45-2</f>
        <v/>
      </c>
      <c r="G45" s="8">
        <f>D45^3-D45-2</f>
        <v/>
      </c>
      <c r="H45" s="8">
        <f>(C45-B45)/2</f>
        <v/>
      </c>
      <c r="I45" s="7">
        <f>IF(H45&lt;=$B$9,"Sí","No")</f>
        <v/>
      </c>
    </row>
    <row r="46">
      <c r="A46" s="7" t="n">
        <v>29</v>
      </c>
      <c r="B46" s="8">
        <f>IF(E45*G45&lt;0,B45,D45)</f>
        <v/>
      </c>
      <c r="C46" s="8">
        <f>IF(E45*G45&lt;0,D45,C45)</f>
        <v/>
      </c>
      <c r="D46" s="8">
        <f>(B46+C46)/2</f>
        <v/>
      </c>
      <c r="E46" s="8">
        <f>B46^3-B46-2</f>
        <v/>
      </c>
      <c r="F46" s="8">
        <f>C46^3-C46-2</f>
        <v/>
      </c>
      <c r="G46" s="8">
        <f>D46^3-D46-2</f>
        <v/>
      </c>
      <c r="H46" s="8">
        <f>(C46-B46)/2</f>
        <v/>
      </c>
      <c r="I46" s="7">
        <f>IF(H46&lt;=$B$9,"Sí","No")</f>
        <v/>
      </c>
    </row>
    <row r="47">
      <c r="A47" s="7" t="n">
        <v>30</v>
      </c>
      <c r="B47" s="8">
        <f>IF(E46*G46&lt;0,B46,D46)</f>
        <v/>
      </c>
      <c r="C47" s="8">
        <f>IF(E46*G46&lt;0,D46,C46)</f>
        <v/>
      </c>
      <c r="D47" s="8">
        <f>(B47+C47)/2</f>
        <v/>
      </c>
      <c r="E47" s="8">
        <f>B47^3-B47-2</f>
        <v/>
      </c>
      <c r="F47" s="8">
        <f>C47^3-C47-2</f>
        <v/>
      </c>
      <c r="G47" s="8">
        <f>D47^3-D47-2</f>
        <v/>
      </c>
      <c r="H47" s="8">
        <f>(C47-B47)/2</f>
        <v/>
      </c>
      <c r="I47" s="7">
        <f>IF(H47&lt;=$B$9,"Sí","No")</f>
        <v/>
      </c>
    </row>
    <row r="48">
      <c r="A48" s="7" t="n">
        <v>31</v>
      </c>
      <c r="B48" s="8">
        <f>IF(E47*G47&lt;0,B47,D47)</f>
        <v/>
      </c>
      <c r="C48" s="8">
        <f>IF(E47*G47&lt;0,D47,C47)</f>
        <v/>
      </c>
      <c r="D48" s="8">
        <f>(B48+C48)/2</f>
        <v/>
      </c>
      <c r="E48" s="8">
        <f>B48^3-B48-2</f>
        <v/>
      </c>
      <c r="F48" s="8">
        <f>C48^3-C48-2</f>
        <v/>
      </c>
      <c r="G48" s="8">
        <f>D48^3-D48-2</f>
        <v/>
      </c>
      <c r="H48" s="8">
        <f>(C48-B48)/2</f>
        <v/>
      </c>
      <c r="I48" s="7">
        <f>IF(H48&lt;=$B$9,"Sí","No")</f>
        <v/>
      </c>
    </row>
    <row r="49">
      <c r="A49" s="7" t="n">
        <v>32</v>
      </c>
      <c r="B49" s="8">
        <f>IF(E48*G48&lt;0,B48,D48)</f>
        <v/>
      </c>
      <c r="C49" s="8">
        <f>IF(E48*G48&lt;0,D48,C48)</f>
        <v/>
      </c>
      <c r="D49" s="8">
        <f>(B49+C49)/2</f>
        <v/>
      </c>
      <c r="E49" s="8">
        <f>B49^3-B49-2</f>
        <v/>
      </c>
      <c r="F49" s="8">
        <f>C49^3-C49-2</f>
        <v/>
      </c>
      <c r="G49" s="8">
        <f>D49^3-D49-2</f>
        <v/>
      </c>
      <c r="H49" s="8">
        <f>(C49-B49)/2</f>
        <v/>
      </c>
      <c r="I49" s="7">
        <f>IF(H49&lt;=$B$9,"Sí","No")</f>
        <v/>
      </c>
    </row>
    <row r="50">
      <c r="A50" s="7" t="n">
        <v>33</v>
      </c>
      <c r="B50" s="8">
        <f>IF(E49*G49&lt;0,B49,D49)</f>
        <v/>
      </c>
      <c r="C50" s="8">
        <f>IF(E49*G49&lt;0,D49,C49)</f>
        <v/>
      </c>
      <c r="D50" s="8">
        <f>(B50+C50)/2</f>
        <v/>
      </c>
      <c r="E50" s="8">
        <f>B50^3-B50-2</f>
        <v/>
      </c>
      <c r="F50" s="8">
        <f>C50^3-C50-2</f>
        <v/>
      </c>
      <c r="G50" s="8">
        <f>D50^3-D50-2</f>
        <v/>
      </c>
      <c r="H50" s="8">
        <f>(C50-B50)/2</f>
        <v/>
      </c>
      <c r="I50" s="7">
        <f>IF(H50&lt;=$B$9,"Sí","No")</f>
        <v/>
      </c>
    </row>
    <row r="51">
      <c r="A51" s="7" t="n">
        <v>34</v>
      </c>
      <c r="B51" s="8">
        <f>IF(E50*G50&lt;0,B50,D50)</f>
        <v/>
      </c>
      <c r="C51" s="8">
        <f>IF(E50*G50&lt;0,D50,C50)</f>
        <v/>
      </c>
      <c r="D51" s="8">
        <f>(B51+C51)/2</f>
        <v/>
      </c>
      <c r="E51" s="8">
        <f>B51^3-B51-2</f>
        <v/>
      </c>
      <c r="F51" s="8">
        <f>C51^3-C51-2</f>
        <v/>
      </c>
      <c r="G51" s="8">
        <f>D51^3-D51-2</f>
        <v/>
      </c>
      <c r="H51" s="8">
        <f>(C51-B51)/2</f>
        <v/>
      </c>
      <c r="I51" s="7">
        <f>IF(H51&lt;=$B$9,"Sí","No")</f>
        <v/>
      </c>
    </row>
    <row r="52">
      <c r="A52" s="7" t="n">
        <v>35</v>
      </c>
      <c r="B52" s="8">
        <f>IF(E51*G51&lt;0,B51,D51)</f>
        <v/>
      </c>
      <c r="C52" s="8">
        <f>IF(E51*G51&lt;0,D51,C51)</f>
        <v/>
      </c>
      <c r="D52" s="8">
        <f>(B52+C52)/2</f>
        <v/>
      </c>
      <c r="E52" s="8">
        <f>B52^3-B52-2</f>
        <v/>
      </c>
      <c r="F52" s="8">
        <f>C52^3-C52-2</f>
        <v/>
      </c>
      <c r="G52" s="8">
        <f>D52^3-D52-2</f>
        <v/>
      </c>
      <c r="H52" s="8">
        <f>(C52-B52)/2</f>
        <v/>
      </c>
      <c r="I52" s="7">
        <f>IF(H52&lt;=$B$9,"Sí","No")</f>
        <v/>
      </c>
    </row>
    <row r="53">
      <c r="A53" s="7" t="n">
        <v>36</v>
      </c>
      <c r="B53" s="8">
        <f>IF(E52*G52&lt;0,B52,D52)</f>
        <v/>
      </c>
      <c r="C53" s="8">
        <f>IF(E52*G52&lt;0,D52,C52)</f>
        <v/>
      </c>
      <c r="D53" s="8">
        <f>(B53+C53)/2</f>
        <v/>
      </c>
      <c r="E53" s="8">
        <f>B53^3-B53-2</f>
        <v/>
      </c>
      <c r="F53" s="8">
        <f>C53^3-C53-2</f>
        <v/>
      </c>
      <c r="G53" s="8">
        <f>D53^3-D53-2</f>
        <v/>
      </c>
      <c r="H53" s="8">
        <f>(C53-B53)/2</f>
        <v/>
      </c>
      <c r="I53" s="7">
        <f>IF(H53&lt;=$B$9,"Sí","No")</f>
        <v/>
      </c>
    </row>
    <row r="54">
      <c r="A54" s="7" t="n">
        <v>37</v>
      </c>
      <c r="B54" s="8">
        <f>IF(E53*G53&lt;0,B53,D53)</f>
        <v/>
      </c>
      <c r="C54" s="8">
        <f>IF(E53*G53&lt;0,D53,C53)</f>
        <v/>
      </c>
      <c r="D54" s="8">
        <f>(B54+C54)/2</f>
        <v/>
      </c>
      <c r="E54" s="8">
        <f>B54^3-B54-2</f>
        <v/>
      </c>
      <c r="F54" s="8">
        <f>C54^3-C54-2</f>
        <v/>
      </c>
      <c r="G54" s="8">
        <f>D54^3-D54-2</f>
        <v/>
      </c>
      <c r="H54" s="8">
        <f>(C54-B54)/2</f>
        <v/>
      </c>
      <c r="I54" s="7">
        <f>IF(H54&lt;=$B$9,"Sí","No")</f>
        <v/>
      </c>
    </row>
    <row r="55">
      <c r="A55" s="7" t="n">
        <v>38</v>
      </c>
      <c r="B55" s="8">
        <f>IF(E54*G54&lt;0,B54,D54)</f>
        <v/>
      </c>
      <c r="C55" s="8">
        <f>IF(E54*G54&lt;0,D54,C54)</f>
        <v/>
      </c>
      <c r="D55" s="8">
        <f>(B55+C55)/2</f>
        <v/>
      </c>
      <c r="E55" s="8">
        <f>B55^3-B55-2</f>
        <v/>
      </c>
      <c r="F55" s="8">
        <f>C55^3-C55-2</f>
        <v/>
      </c>
      <c r="G55" s="8">
        <f>D55^3-D55-2</f>
        <v/>
      </c>
      <c r="H55" s="8">
        <f>(C55-B55)/2</f>
        <v/>
      </c>
      <c r="I55" s="7">
        <f>IF(H55&lt;=$B$9,"Sí","No")</f>
        <v/>
      </c>
    </row>
    <row r="56">
      <c r="A56" s="7" t="n">
        <v>39</v>
      </c>
      <c r="B56" s="8">
        <f>IF(E55*G55&lt;0,B55,D55)</f>
        <v/>
      </c>
      <c r="C56" s="8">
        <f>IF(E55*G55&lt;0,D55,C55)</f>
        <v/>
      </c>
      <c r="D56" s="8">
        <f>(B56+C56)/2</f>
        <v/>
      </c>
      <c r="E56" s="8">
        <f>B56^3-B56-2</f>
        <v/>
      </c>
      <c r="F56" s="8">
        <f>C56^3-C56-2</f>
        <v/>
      </c>
      <c r="G56" s="8">
        <f>D56^3-D56-2</f>
        <v/>
      </c>
      <c r="H56" s="8">
        <f>(C56-B56)/2</f>
        <v/>
      </c>
      <c r="I56" s="7">
        <f>IF(H56&lt;=$B$9,"Sí","No")</f>
        <v/>
      </c>
    </row>
    <row r="57">
      <c r="A57" s="7" t="n">
        <v>40</v>
      </c>
      <c r="B57" s="8">
        <f>IF(E56*G56&lt;0,B56,D56)</f>
        <v/>
      </c>
      <c r="C57" s="8">
        <f>IF(E56*G56&lt;0,D56,C56)</f>
        <v/>
      </c>
      <c r="D57" s="8">
        <f>(B57+C57)/2</f>
        <v/>
      </c>
      <c r="E57" s="8">
        <f>B57^3-B57-2</f>
        <v/>
      </c>
      <c r="F57" s="8">
        <f>C57^3-C57-2</f>
        <v/>
      </c>
      <c r="G57" s="8">
        <f>D57^3-D57-2</f>
        <v/>
      </c>
      <c r="H57" s="8">
        <f>(C57-B57)/2</f>
        <v/>
      </c>
      <c r="I57" s="7">
        <f>IF(H57&lt;=$B$9,"Sí","No")</f>
        <v/>
      </c>
    </row>
    <row r="58">
      <c r="A58" s="7" t="n">
        <v>41</v>
      </c>
      <c r="B58" s="8">
        <f>IF(E57*G57&lt;0,B57,D57)</f>
        <v/>
      </c>
      <c r="C58" s="8">
        <f>IF(E57*G57&lt;0,D57,C57)</f>
        <v/>
      </c>
      <c r="D58" s="8">
        <f>(B58+C58)/2</f>
        <v/>
      </c>
      <c r="E58" s="8">
        <f>B58^3-B58-2</f>
        <v/>
      </c>
      <c r="F58" s="8">
        <f>C58^3-C58-2</f>
        <v/>
      </c>
      <c r="G58" s="8">
        <f>D58^3-D58-2</f>
        <v/>
      </c>
      <c r="H58" s="8">
        <f>(C58-B58)/2</f>
        <v/>
      </c>
      <c r="I58" s="7">
        <f>IF(H58&lt;=$B$9,"Sí","No")</f>
        <v/>
      </c>
    </row>
    <row r="59">
      <c r="A59" s="7" t="n">
        <v>42</v>
      </c>
      <c r="B59" s="8">
        <f>IF(E58*G58&lt;0,B58,D58)</f>
        <v/>
      </c>
      <c r="C59" s="8">
        <f>IF(E58*G58&lt;0,D58,C58)</f>
        <v/>
      </c>
      <c r="D59" s="8">
        <f>(B59+C59)/2</f>
        <v/>
      </c>
      <c r="E59" s="8">
        <f>B59^3-B59-2</f>
        <v/>
      </c>
      <c r="F59" s="8">
        <f>C59^3-C59-2</f>
        <v/>
      </c>
      <c r="G59" s="8">
        <f>D59^3-D59-2</f>
        <v/>
      </c>
      <c r="H59" s="8">
        <f>(C59-B59)/2</f>
        <v/>
      </c>
      <c r="I59" s="7">
        <f>IF(H59&lt;=$B$9,"Sí","No")</f>
        <v/>
      </c>
    </row>
    <row r="60">
      <c r="A60" s="7" t="n">
        <v>43</v>
      </c>
      <c r="B60" s="8">
        <f>IF(E59*G59&lt;0,B59,D59)</f>
        <v/>
      </c>
      <c r="C60" s="8">
        <f>IF(E59*G59&lt;0,D59,C59)</f>
        <v/>
      </c>
      <c r="D60" s="8">
        <f>(B60+C60)/2</f>
        <v/>
      </c>
      <c r="E60" s="8">
        <f>B60^3-B60-2</f>
        <v/>
      </c>
      <c r="F60" s="8">
        <f>C60^3-C60-2</f>
        <v/>
      </c>
      <c r="G60" s="8">
        <f>D60^3-D60-2</f>
        <v/>
      </c>
      <c r="H60" s="8">
        <f>(C60-B60)/2</f>
        <v/>
      </c>
      <c r="I60" s="7">
        <f>IF(H60&lt;=$B$9,"Sí","No")</f>
        <v/>
      </c>
    </row>
    <row r="61">
      <c r="A61" s="7" t="n">
        <v>44</v>
      </c>
      <c r="B61" s="8">
        <f>IF(E60*G60&lt;0,B60,D60)</f>
        <v/>
      </c>
      <c r="C61" s="8">
        <f>IF(E60*G60&lt;0,D60,C60)</f>
        <v/>
      </c>
      <c r="D61" s="8">
        <f>(B61+C61)/2</f>
        <v/>
      </c>
      <c r="E61" s="8">
        <f>B61^3-B61-2</f>
        <v/>
      </c>
      <c r="F61" s="8">
        <f>C61^3-C61-2</f>
        <v/>
      </c>
      <c r="G61" s="8">
        <f>D61^3-D61-2</f>
        <v/>
      </c>
      <c r="H61" s="8">
        <f>(C61-B61)/2</f>
        <v/>
      </c>
      <c r="I61" s="7">
        <f>IF(H61&lt;=$B$9,"Sí","No")</f>
        <v/>
      </c>
    </row>
    <row r="62">
      <c r="A62" s="7" t="n">
        <v>45</v>
      </c>
      <c r="B62" s="8">
        <f>IF(E61*G61&lt;0,B61,D61)</f>
        <v/>
      </c>
      <c r="C62" s="8">
        <f>IF(E61*G61&lt;0,D61,C61)</f>
        <v/>
      </c>
      <c r="D62" s="8">
        <f>(B62+C62)/2</f>
        <v/>
      </c>
      <c r="E62" s="8">
        <f>B62^3-B62-2</f>
        <v/>
      </c>
      <c r="F62" s="8">
        <f>C62^3-C62-2</f>
        <v/>
      </c>
      <c r="G62" s="8">
        <f>D62^3-D62-2</f>
        <v/>
      </c>
      <c r="H62" s="8">
        <f>(C62-B62)/2</f>
        <v/>
      </c>
      <c r="I62" s="7">
        <f>IF(H62&lt;=$B$9,"Sí","No")</f>
        <v/>
      </c>
    </row>
    <row r="63">
      <c r="A63" s="7" t="n">
        <v>46</v>
      </c>
      <c r="B63" s="8">
        <f>IF(E62*G62&lt;0,B62,D62)</f>
        <v/>
      </c>
      <c r="C63" s="8">
        <f>IF(E62*G62&lt;0,D62,C62)</f>
        <v/>
      </c>
      <c r="D63" s="8">
        <f>(B63+C63)/2</f>
        <v/>
      </c>
      <c r="E63" s="8">
        <f>B63^3-B63-2</f>
        <v/>
      </c>
      <c r="F63" s="8">
        <f>C63^3-C63-2</f>
        <v/>
      </c>
      <c r="G63" s="8">
        <f>D63^3-D63-2</f>
        <v/>
      </c>
      <c r="H63" s="8">
        <f>(C63-B63)/2</f>
        <v/>
      </c>
      <c r="I63" s="7">
        <f>IF(H63&lt;=$B$9,"Sí","No")</f>
        <v/>
      </c>
    </row>
    <row r="64">
      <c r="A64" s="7" t="n">
        <v>47</v>
      </c>
      <c r="B64" s="8">
        <f>IF(E63*G63&lt;0,B63,D63)</f>
        <v/>
      </c>
      <c r="C64" s="8">
        <f>IF(E63*G63&lt;0,D63,C63)</f>
        <v/>
      </c>
      <c r="D64" s="8">
        <f>(B64+C64)/2</f>
        <v/>
      </c>
      <c r="E64" s="8">
        <f>B64^3-B64-2</f>
        <v/>
      </c>
      <c r="F64" s="8">
        <f>C64^3-C64-2</f>
        <v/>
      </c>
      <c r="G64" s="8">
        <f>D64^3-D64-2</f>
        <v/>
      </c>
      <c r="H64" s="8">
        <f>(C64-B64)/2</f>
        <v/>
      </c>
      <c r="I64" s="7">
        <f>IF(H64&lt;=$B$9,"Sí","No")</f>
        <v/>
      </c>
    </row>
    <row r="65">
      <c r="A65" s="7" t="n">
        <v>48</v>
      </c>
      <c r="B65" s="8">
        <f>IF(E64*G64&lt;0,B64,D64)</f>
        <v/>
      </c>
      <c r="C65" s="8">
        <f>IF(E64*G64&lt;0,D64,C64)</f>
        <v/>
      </c>
      <c r="D65" s="8">
        <f>(B65+C65)/2</f>
        <v/>
      </c>
      <c r="E65" s="8">
        <f>B65^3-B65-2</f>
        <v/>
      </c>
      <c r="F65" s="8">
        <f>C65^3-C65-2</f>
        <v/>
      </c>
      <c r="G65" s="8">
        <f>D65^3-D65-2</f>
        <v/>
      </c>
      <c r="H65" s="8">
        <f>(C65-B65)/2</f>
        <v/>
      </c>
      <c r="I65" s="7">
        <f>IF(H65&lt;=$B$9,"Sí","No")</f>
        <v/>
      </c>
    </row>
    <row r="66">
      <c r="A66" s="7" t="n">
        <v>49</v>
      </c>
      <c r="B66" s="8">
        <f>IF(E65*G65&lt;0,B65,D65)</f>
        <v/>
      </c>
      <c r="C66" s="8">
        <f>IF(E65*G65&lt;0,D65,C65)</f>
        <v/>
      </c>
      <c r="D66" s="8">
        <f>(B66+C66)/2</f>
        <v/>
      </c>
      <c r="E66" s="8">
        <f>B66^3-B66-2</f>
        <v/>
      </c>
      <c r="F66" s="8">
        <f>C66^3-C66-2</f>
        <v/>
      </c>
      <c r="G66" s="8">
        <f>D66^3-D66-2</f>
        <v/>
      </c>
      <c r="H66" s="8">
        <f>(C66-B66)/2</f>
        <v/>
      </c>
      <c r="I66" s="7">
        <f>IF(H66&lt;=$B$9,"Sí","No")</f>
        <v/>
      </c>
    </row>
    <row r="68">
      <c r="A68" s="2" t="inlineStr">
        <is>
          <t>Resultado</t>
        </is>
      </c>
    </row>
    <row r="69">
      <c r="A69" t="inlineStr">
        <is>
          <t>Aproximación de la raíz c:</t>
        </is>
      </c>
      <c r="B69" s="9">
        <f>D66</f>
        <v/>
      </c>
    </row>
    <row r="70">
      <c r="A70" t="inlineStr">
        <is>
          <t>f(c) ≈</t>
        </is>
      </c>
      <c r="B70" s="10">
        <f>G66</f>
        <v/>
      </c>
    </row>
  </sheetData>
  <mergeCells count="3">
    <mergeCell ref="A4:H4"/>
    <mergeCell ref="A13:H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Referencia analítica</t>
        </is>
      </c>
    </row>
    <row r="3">
      <c r="A3" t="inlineStr">
        <is>
          <t>La raíz positiva de x³−x−2=0 es aproximadamente:</t>
        </is>
      </c>
      <c r="B3" s="11" t="n">
        <v>1.521379706804567</v>
      </c>
    </row>
    <row r="5">
      <c r="A5" s="3" t="inlineStr">
        <is>
          <t>Este archivo es un DEMO: las fórmulas en 'Bisección' calculan solas al abrir en Excel.</t>
        </is>
      </c>
    </row>
    <row r="6"/>
  </sheetData>
  <mergeCells count="1">
    <mergeCell ref="A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2026-10-26T00:38:34Z</dcterms:created>
  <dcterms:modified xsi:type="dcterms:W3CDTF">2026-10-26T00:38:34Z</dcterms:modified>
</cp:coreProperties>
</file>