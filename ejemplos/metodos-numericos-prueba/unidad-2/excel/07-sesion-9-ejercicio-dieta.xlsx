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en\Downloads\metodo numerico 6to\"/>
    </mc:Choice>
  </mc:AlternateContent>
  <xr:revisionPtr revIDLastSave="0" documentId="13_ncr:1_{5F679FD0-2686-4C25-84DB-007AFFF7990F}" xr6:coauthVersionLast="47" xr6:coauthVersionMax="47" xr10:uidLastSave="{00000000-0000-0000-0000-000000000000}"/>
  <bookViews>
    <workbookView xWindow="-98" yWindow="-98" windowWidth="19396" windowHeight="11475" activeTab="2" xr2:uid="{AA46D669-37EE-4787-AACB-F15CB06DED03}"/>
  </bookViews>
  <sheets>
    <sheet name="recta" sheetId="1" r:id="rId1"/>
    <sheet name="parabola" sheetId="2" r:id="rId2"/>
    <sheet name="comparac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3" l="1"/>
  <c r="C9" i="3"/>
  <c r="C8" i="3"/>
  <c r="C7" i="3"/>
  <c r="H5" i="3"/>
  <c r="G5" i="3"/>
  <c r="F5" i="3"/>
  <c r="E5" i="3"/>
  <c r="D5" i="3"/>
  <c r="C5" i="3"/>
  <c r="H4" i="3"/>
  <c r="G4" i="3"/>
  <c r="F4" i="3"/>
  <c r="E4" i="3"/>
  <c r="D4" i="3"/>
  <c r="C4" i="3"/>
  <c r="C27" i="2"/>
  <c r="C26" i="2"/>
  <c r="C24" i="2"/>
  <c r="N30" i="2"/>
  <c r="N29" i="2"/>
  <c r="N28" i="2"/>
  <c r="O25" i="2"/>
  <c r="N25" i="2"/>
  <c r="M25" i="2"/>
  <c r="O24" i="2"/>
  <c r="N24" i="2"/>
  <c r="M24" i="2"/>
  <c r="O23" i="2"/>
  <c r="N23" i="2"/>
  <c r="M23" i="2"/>
  <c r="Q20" i="2"/>
  <c r="O20" i="2"/>
  <c r="N20" i="2"/>
  <c r="M20" i="2"/>
  <c r="Q19" i="2"/>
  <c r="O19" i="2"/>
  <c r="N19" i="2"/>
  <c r="M19" i="2"/>
  <c r="Q18" i="2"/>
  <c r="O18" i="2"/>
  <c r="N18" i="2"/>
  <c r="M18" i="2"/>
  <c r="C16" i="2"/>
  <c r="C15" i="2"/>
  <c r="I11" i="2"/>
  <c r="H11" i="2"/>
  <c r="G11" i="2"/>
  <c r="F11" i="2"/>
  <c r="E11" i="2"/>
  <c r="D11" i="2"/>
  <c r="C11" i="2"/>
  <c r="I10" i="2"/>
  <c r="H10" i="2"/>
  <c r="G10" i="2"/>
  <c r="F10" i="2"/>
  <c r="E10" i="2"/>
  <c r="I9" i="2"/>
  <c r="H9" i="2"/>
  <c r="G9" i="2"/>
  <c r="F9" i="2"/>
  <c r="E9" i="2"/>
  <c r="I8" i="2"/>
  <c r="H8" i="2"/>
  <c r="G8" i="2"/>
  <c r="F8" i="2"/>
  <c r="E8" i="2"/>
  <c r="I7" i="2"/>
  <c r="H7" i="2"/>
  <c r="G7" i="2"/>
  <c r="F7" i="2"/>
  <c r="E7" i="2"/>
  <c r="I6" i="2"/>
  <c r="H6" i="2"/>
  <c r="G6" i="2"/>
  <c r="F6" i="2"/>
  <c r="E6" i="2"/>
  <c r="C27" i="1"/>
  <c r="C26" i="1"/>
  <c r="C24" i="1"/>
  <c r="K27" i="1"/>
  <c r="G6" i="1" s="1"/>
  <c r="K26" i="1"/>
  <c r="K23" i="1"/>
  <c r="J23" i="1"/>
  <c r="K22" i="1"/>
  <c r="J22" i="1"/>
  <c r="M19" i="1"/>
  <c r="K19" i="1"/>
  <c r="J19" i="1"/>
  <c r="M18" i="1"/>
  <c r="K18" i="1"/>
  <c r="J18" i="1"/>
  <c r="C16" i="1"/>
  <c r="H10" i="1" s="1"/>
  <c r="H11" i="1" s="1"/>
  <c r="C15" i="1"/>
  <c r="F11" i="1"/>
  <c r="E11" i="1"/>
  <c r="D11" i="1"/>
  <c r="C11" i="1"/>
  <c r="F10" i="1"/>
  <c r="E10" i="1"/>
  <c r="H9" i="1"/>
  <c r="F9" i="1"/>
  <c r="E9" i="1"/>
  <c r="H8" i="1"/>
  <c r="F8" i="1"/>
  <c r="E8" i="1"/>
  <c r="H7" i="1"/>
  <c r="F7" i="1"/>
  <c r="E7" i="1"/>
  <c r="H6" i="1"/>
  <c r="F6" i="1"/>
  <c r="E6" i="1"/>
  <c r="J9" i="2" l="1"/>
  <c r="J8" i="2"/>
  <c r="J6" i="2"/>
  <c r="J10" i="2"/>
  <c r="J7" i="2"/>
  <c r="K10" i="2"/>
  <c r="K9" i="2"/>
  <c r="K8" i="2"/>
  <c r="K7" i="2"/>
  <c r="K6" i="2"/>
  <c r="K11" i="2" s="1"/>
  <c r="G10" i="1"/>
  <c r="G9" i="1"/>
  <c r="G8" i="1"/>
  <c r="G7" i="1"/>
  <c r="J11" i="2" l="1"/>
  <c r="G11" i="1"/>
  <c r="C19" i="2" l="1"/>
  <c r="J12" i="2"/>
  <c r="C17" i="2"/>
  <c r="C17" i="1"/>
  <c r="G12" i="1"/>
  <c r="C19" i="1"/>
  <c r="C20" i="2" l="1"/>
  <c r="C18" i="2"/>
  <c r="C18" i="1"/>
  <c r="C20" i="1"/>
</calcChain>
</file>

<file path=xl/sharedStrings.xml><?xml version="1.0" encoding="utf-8"?>
<sst xmlns="http://schemas.openxmlformats.org/spreadsheetml/2006/main" count="100" uniqueCount="62">
  <si>
    <t>Ejercicio 1:</t>
  </si>
  <si>
    <t>i</t>
  </si>
  <si>
    <t>xi</t>
  </si>
  <si>
    <t>yi</t>
  </si>
  <si>
    <t>xi^2</t>
  </si>
  <si>
    <t>xi*yi</t>
  </si>
  <si>
    <t>(yi-ybar)^2</t>
  </si>
  <si>
    <t>suma</t>
  </si>
  <si>
    <t>m=</t>
  </si>
  <si>
    <t>polinomial</t>
  </si>
  <si>
    <t>nodos</t>
  </si>
  <si>
    <t>C</t>
  </si>
  <si>
    <t>b</t>
  </si>
  <si>
    <t>inv(C)</t>
  </si>
  <si>
    <t>a0</t>
  </si>
  <si>
    <t>a1</t>
  </si>
  <si>
    <t>Q=</t>
  </si>
  <si>
    <t>Sy/x=</t>
  </si>
  <si>
    <t>r^2=</t>
  </si>
  <si>
    <t>r=</t>
  </si>
  <si>
    <t>P(x)=</t>
  </si>
  <si>
    <t>x=</t>
  </si>
  <si>
    <t>meses</t>
  </si>
  <si>
    <t>P1(2.5)=</t>
  </si>
  <si>
    <t>kg</t>
  </si>
  <si>
    <t>xi^3</t>
  </si>
  <si>
    <t>xi^4</t>
  </si>
  <si>
    <t>xi^2*yi</t>
  </si>
  <si>
    <t>a2</t>
  </si>
  <si>
    <t>P2(2.5)=</t>
  </si>
  <si>
    <t>Interpretación:</t>
  </si>
  <si>
    <t>Conclusión:</t>
  </si>
  <si>
    <t>Gráfica</t>
  </si>
  <si>
    <t>x e y</t>
  </si>
  <si>
    <t>recta: c1, b1, a1</t>
  </si>
  <si>
    <t>parábola: c2, b2, a2</t>
  </si>
  <si>
    <t>ajuste</t>
  </si>
  <si>
    <t>P(x)</t>
  </si>
  <si>
    <t>Q</t>
  </si>
  <si>
    <t>Sy/x</t>
  </si>
  <si>
    <t>r^2</t>
  </si>
  <si>
    <t>r</t>
  </si>
  <si>
    <t>P(2.5) kg</t>
  </si>
  <si>
    <t>recta (m=1)</t>
  </si>
  <si>
    <t>parábola (m=2)</t>
  </si>
  <si>
    <t>Más preciso:</t>
  </si>
  <si>
    <t>Pérdida a los 2.5 meses:</t>
  </si>
  <si>
    <t>Objetivo:</t>
  </si>
  <si>
    <t>y=a0+a1*x</t>
  </si>
  <si>
    <t>(a0+a1*x-yi)^2</t>
  </si>
  <si>
    <t>Recta</t>
  </si>
  <si>
    <t>(P1(x)-yi)^2</t>
  </si>
  <si>
    <t>n+1=</t>
  </si>
  <si>
    <t>media y=</t>
  </si>
  <si>
    <t>a</t>
  </si>
  <si>
    <t>a0+a1*x</t>
  </si>
  <si>
    <t>y=a0+a1*x+a2*x^2</t>
  </si>
  <si>
    <t>(a0+a1*x+a2*x^2-yi)^2</t>
  </si>
  <si>
    <t>Parábola</t>
  </si>
  <si>
    <t>(P2(x)-yi)^2</t>
  </si>
  <si>
    <t>a0+a1*x+a2*x^2</t>
  </si>
  <si>
    <t>Evidencias Octave (Ventana de comandos)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</si>
</sst>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FF7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0</xdr:rowOff>
    </xdr:from>
    <xdr:to>
      <xdr:col>7</xdr:col>
      <xdr:colOff>722313</xdr:colOff>
      <xdr:row>0</xdr:row>
      <xdr:rowOff>2371328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C1219AA-442B-9581-0C41-2316A008B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163" y="0"/>
          <a:ext cx="5080000" cy="2371328"/>
        </a:xfrm>
        <a:prstGeom prst="rect">
          <a:avLst/>
        </a:prstGeom>
      </xdr:spPr>
    </xdr:pic>
    <xdr:clientData/>
  </xdr:twoCellAnchor>
  <xdr:twoCellAnchor editAs="absolute">
    <xdr:from>
      <xdr:col>9</xdr:col>
      <xdr:colOff>0</xdr:colOff>
      <xdr:row>2</xdr:row>
      <xdr:rowOff>0</xdr:rowOff>
    </xdr:from>
    <xdr:to>
      <xdr:col>13</xdr:col>
      <xdr:colOff>590550</xdr:colOff>
      <xdr:row>10</xdr:row>
      <xdr:rowOff>163690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7468A3D-066C-F914-43C9-A394FEBC2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8013" y="2590800"/>
          <a:ext cx="4191000" cy="1810512"/>
        </a:xfrm>
        <a:prstGeom prst="rect">
          <a:avLst/>
        </a:prstGeom>
      </xdr:spPr>
    </xdr:pic>
    <xdr:clientData/>
  </xdr:twoCellAnchor>
  <xdr:twoCellAnchor editAs="absolute">
    <xdr:from>
      <xdr:col>9</xdr:col>
      <xdr:colOff>0</xdr:colOff>
      <xdr:row>28</xdr:row>
      <xdr:rowOff>0</xdr:rowOff>
    </xdr:from>
    <xdr:to>
      <xdr:col>13</xdr:col>
      <xdr:colOff>209550</xdr:colOff>
      <xdr:row>40</xdr:row>
      <xdr:rowOff>82551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B27C94F-9A47-BA9C-0F11-BD4A3804D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8013" y="7496175"/>
          <a:ext cx="3810000" cy="2254251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1</xdr:rowOff>
    </xdr:from>
    <xdr:to>
      <xdr:col>6</xdr:col>
      <xdr:colOff>1008062</xdr:colOff>
      <xdr:row>50</xdr:row>
      <xdr:rowOff>17337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51D267A-BE6D-882D-A7E5-DEE91B7CD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7677151"/>
          <a:ext cx="5080000" cy="3817811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54</xdr:row>
      <xdr:rowOff>0</xdr:rowOff>
    </xdr:from>
    <xdr:to>
      <xdr:col>8</xdr:col>
      <xdr:colOff>160337</xdr:colOff>
      <xdr:row>75</xdr:row>
      <xdr:rowOff>30216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6E4AA17-F8D2-53CF-C8E3-D628B92E0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2201525"/>
          <a:ext cx="6604000" cy="3830691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77</xdr:row>
      <xdr:rowOff>180974</xdr:rowOff>
    </xdr:from>
    <xdr:to>
      <xdr:col>9</xdr:col>
      <xdr:colOff>157162</xdr:colOff>
      <xdr:row>111</xdr:row>
      <xdr:rowOff>28574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568DCEC-AB78-8D84-6FBC-096550F3B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6544924"/>
          <a:ext cx="6858000" cy="600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3142</xdr:colOff>
      <xdr:row>0</xdr:row>
      <xdr:rowOff>0</xdr:rowOff>
    </xdr:from>
    <xdr:to>
      <xdr:col>8</xdr:col>
      <xdr:colOff>239578</xdr:colOff>
      <xdr:row>0</xdr:row>
      <xdr:rowOff>2371328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309C012-57E1-8898-C7AA-842A2B6C8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163" y="0"/>
          <a:ext cx="5080000" cy="2371328"/>
        </a:xfrm>
        <a:prstGeom prst="rect">
          <a:avLst/>
        </a:prstGeom>
      </xdr:spPr>
    </xdr:pic>
    <xdr:clientData/>
  </xdr:twoCellAnchor>
  <xdr:twoCellAnchor editAs="absolute">
    <xdr:from>
      <xdr:col>11</xdr:col>
      <xdr:colOff>245825</xdr:colOff>
      <xdr:row>1</xdr:row>
      <xdr:rowOff>179151</xdr:rowOff>
    </xdr:from>
    <xdr:to>
      <xdr:col>16</xdr:col>
      <xdr:colOff>576161</xdr:colOff>
      <xdr:row>10</xdr:row>
      <xdr:rowOff>145461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9A500E0-0FA5-AA62-0AD9-2921CB07D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2590800"/>
          <a:ext cx="4191000" cy="1810512"/>
        </a:xfrm>
        <a:prstGeom prst="rect">
          <a:avLst/>
        </a:prstGeom>
      </xdr:spPr>
    </xdr:pic>
    <xdr:clientData/>
  </xdr:twoCellAnchor>
  <xdr:twoCellAnchor editAs="absolute">
    <xdr:from>
      <xdr:col>11</xdr:col>
      <xdr:colOff>245825</xdr:colOff>
      <xdr:row>30</xdr:row>
      <xdr:rowOff>135377</xdr:rowOff>
    </xdr:from>
    <xdr:to>
      <xdr:col>16</xdr:col>
      <xdr:colOff>195161</xdr:colOff>
      <xdr:row>43</xdr:row>
      <xdr:rowOff>18511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70EF524-332E-9A9C-4A13-4783BF17D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8039100"/>
          <a:ext cx="3810000" cy="2254251"/>
        </a:xfrm>
        <a:prstGeom prst="rect">
          <a:avLst/>
        </a:prstGeom>
      </xdr:spPr>
    </xdr:pic>
    <xdr:clientData/>
  </xdr:twoCellAnchor>
  <xdr:twoCellAnchor editAs="absolute">
    <xdr:from>
      <xdr:col>1</xdr:col>
      <xdr:colOff>3849</xdr:colOff>
      <xdr:row>28</xdr:row>
      <xdr:rowOff>138215</xdr:rowOff>
    </xdr:from>
    <xdr:to>
      <xdr:col>7</xdr:col>
      <xdr:colOff>98424</xdr:colOff>
      <xdr:row>49</xdr:row>
      <xdr:rowOff>125760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3457376-9DB7-F05C-BC67-7E12255B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7677151"/>
          <a:ext cx="5080000" cy="3817811"/>
        </a:xfrm>
        <a:prstGeom prst="rect">
          <a:avLst/>
        </a:prstGeom>
      </xdr:spPr>
    </xdr:pic>
    <xdr:clientData/>
  </xdr:twoCellAnchor>
  <xdr:twoCellAnchor editAs="absolute">
    <xdr:from>
      <xdr:col>1</xdr:col>
      <xdr:colOff>3849</xdr:colOff>
      <xdr:row>53</xdr:row>
      <xdr:rowOff>102748</xdr:rowOff>
    </xdr:from>
    <xdr:to>
      <xdr:col>9</xdr:col>
      <xdr:colOff>326754</xdr:colOff>
      <xdr:row>91</xdr:row>
      <xdr:rowOff>24083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32FB8D-37ED-B5B4-6BCB-EA708F35E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2201525"/>
          <a:ext cx="7112000" cy="685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1416</xdr:colOff>
      <xdr:row>0</xdr:row>
      <xdr:rowOff>0</xdr:rowOff>
    </xdr:from>
    <xdr:to>
      <xdr:col>6</xdr:col>
      <xdr:colOff>55048</xdr:colOff>
      <xdr:row>0</xdr:row>
      <xdr:rowOff>2371328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65CA487-B7DA-E3FC-4AAA-A4B5CFAB7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7413" y="0"/>
          <a:ext cx="5080000" cy="2371328"/>
        </a:xfrm>
        <a:prstGeom prst="rect">
          <a:avLst/>
        </a:prstGeom>
      </xdr:spPr>
    </xdr:pic>
    <xdr:clientData/>
  </xdr:twoCellAnchor>
  <xdr:twoCellAnchor editAs="absolute">
    <xdr:from>
      <xdr:col>0</xdr:col>
      <xdr:colOff>257174</xdr:colOff>
      <xdr:row>12</xdr:row>
      <xdr:rowOff>13386</xdr:rowOff>
    </xdr:from>
    <xdr:to>
      <xdr:col>4</xdr:col>
      <xdr:colOff>494012</xdr:colOff>
      <xdr:row>34</xdr:row>
      <xdr:rowOff>57628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2051C1-B84C-DF53-B664-EAC5A82A3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4724400"/>
          <a:ext cx="5334000" cy="4008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DBC1-8DC3-4CEA-8434-DABBE5293B09}">
  <sheetPr>
    <pageSetUpPr fitToPage="1"/>
  </sheetPr>
  <dimension ref="B1:M78"/>
  <sheetViews>
    <sheetView zoomScale="76" workbookViewId="0"/>
  </sheetViews>
  <sheetFormatPr defaultRowHeight="14.35" customHeight="1" x14ac:dyDescent="0.45"/>
  <cols>
    <col min="1" max="1" width="3.59765625" style="1" customWidth="1"/>
    <col min="2" max="2" width="14.59765625" style="1" customWidth="1"/>
    <col min="3" max="4" width="9.59765625" style="1" customWidth="1"/>
    <col min="5" max="6" width="11.59765625" style="1" customWidth="1"/>
    <col min="7" max="7" width="18.59765625" style="1" customWidth="1"/>
    <col min="8" max="8" width="14.59765625" style="1" customWidth="1"/>
    <col min="9" max="9" width="3.59765625" style="1" customWidth="1"/>
    <col min="10" max="15" width="12.59765625" style="1" customWidth="1"/>
    <col min="16" max="16" width="4.59765625" style="1" customWidth="1"/>
    <col min="17" max="19" width="14.59765625" style="1" customWidth="1"/>
    <col min="20" max="20" width="4.59765625" style="1" customWidth="1"/>
    <col min="21" max="21" width="14.59765625" style="1" customWidth="1"/>
    <col min="22" max="23" width="12.59765625" style="1" customWidth="1"/>
    <col min="24" max="16384" width="9.06640625" style="1"/>
  </cols>
  <sheetData>
    <row r="1" spans="2:13" ht="190.05" customHeight="1" x14ac:dyDescent="0.45">
      <c r="B1" s="3" t="s">
        <v>0</v>
      </c>
    </row>
    <row r="3" spans="2:13" ht="14.35" customHeight="1" x14ac:dyDescent="0.45">
      <c r="B3" s="2" t="s">
        <v>50</v>
      </c>
    </row>
    <row r="4" spans="2:13" ht="30" customHeight="1" x14ac:dyDescent="0.45">
      <c r="G4" s="4" t="s">
        <v>49</v>
      </c>
    </row>
    <row r="5" spans="2:13" ht="14.35" customHeight="1" x14ac:dyDescent="0.45"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51</v>
      </c>
      <c r="H5" s="5" t="s">
        <v>6</v>
      </c>
    </row>
    <row r="6" spans="2:13" ht="14.35" customHeight="1" x14ac:dyDescent="0.45">
      <c r="B6" s="8">
        <v>1</v>
      </c>
      <c r="C6" s="6">
        <v>1</v>
      </c>
      <c r="D6" s="6">
        <v>9</v>
      </c>
      <c r="E6" s="6">
        <f>C6^2</f>
        <v>1</v>
      </c>
      <c r="F6" s="6">
        <f>C6*D6</f>
        <v>9</v>
      </c>
      <c r="G6" s="7">
        <f>($K$26+$K$27*C6-D6)^2</f>
        <v>3.2399999999998617E-2</v>
      </c>
      <c r="H6" s="7">
        <f>(D6-$C$16)^2</f>
        <v>14.7456</v>
      </c>
    </row>
    <row r="7" spans="2:13" ht="14.35" customHeight="1" x14ac:dyDescent="0.45">
      <c r="B7" s="8">
        <v>2</v>
      </c>
      <c r="C7" s="6">
        <v>2</v>
      </c>
      <c r="D7" s="6">
        <v>7.5</v>
      </c>
      <c r="E7" s="6">
        <f>C7^2</f>
        <v>4</v>
      </c>
      <c r="F7" s="6">
        <f>C7*D7</f>
        <v>15</v>
      </c>
      <c r="G7" s="7">
        <f>($K$26+$K$27*C7-D7)^2</f>
        <v>0.26009999999999617</v>
      </c>
      <c r="H7" s="7">
        <f>(D7-$C$16)^2</f>
        <v>5.4755999999999991</v>
      </c>
    </row>
    <row r="8" spans="2:13" ht="14.35" customHeight="1" x14ac:dyDescent="0.45">
      <c r="B8" s="8">
        <v>3</v>
      </c>
      <c r="C8" s="6">
        <v>3</v>
      </c>
      <c r="D8" s="6">
        <v>4.2</v>
      </c>
      <c r="E8" s="6">
        <f>C8^2</f>
        <v>9</v>
      </c>
      <c r="F8" s="6">
        <f>C8*D8</f>
        <v>12.600000000000001</v>
      </c>
      <c r="G8" s="7">
        <f>($K$26+$K$27*C8-D8)^2</f>
        <v>0.92160000000000508</v>
      </c>
      <c r="H8" s="7">
        <f>(D8-$C$16)^2</f>
        <v>0.92159999999999997</v>
      </c>
    </row>
    <row r="9" spans="2:13" ht="14.35" customHeight="1" x14ac:dyDescent="0.45">
      <c r="B9" s="8">
        <v>4</v>
      </c>
      <c r="C9" s="6">
        <v>4</v>
      </c>
      <c r="D9" s="6">
        <v>3</v>
      </c>
      <c r="E9" s="6">
        <f>C9^2</f>
        <v>16</v>
      </c>
      <c r="F9" s="6">
        <f>C9*D9</f>
        <v>12</v>
      </c>
      <c r="G9" s="7">
        <f>($K$26+$K$27*C9-D9)^2</f>
        <v>0.10890000000000122</v>
      </c>
      <c r="H9" s="7">
        <f>(D9-$C$16)^2</f>
        <v>4.6656000000000004</v>
      </c>
    </row>
    <row r="10" spans="2:13" ht="14.35" customHeight="1" x14ac:dyDescent="0.45">
      <c r="B10" s="8">
        <v>5</v>
      </c>
      <c r="C10" s="6">
        <v>5</v>
      </c>
      <c r="D10" s="6">
        <v>2.1</v>
      </c>
      <c r="E10" s="6">
        <f>C10^2</f>
        <v>25</v>
      </c>
      <c r="F10" s="6">
        <f>C10*D10</f>
        <v>10.5</v>
      </c>
      <c r="G10" s="7">
        <f>($K$26+$K$27*C10-D10)^2</f>
        <v>0.3600000000000001</v>
      </c>
      <c r="H10" s="7">
        <f>(D10-$C$16)^2</f>
        <v>9.3635999999999999</v>
      </c>
    </row>
    <row r="11" spans="2:13" ht="14.35" customHeight="1" x14ac:dyDescent="0.45">
      <c r="B11" s="6" t="s">
        <v>7</v>
      </c>
      <c r="C11" s="6">
        <f t="shared" ref="C11:H11" si="0">SUM(C6:C10)</f>
        <v>15</v>
      </c>
      <c r="D11" s="6">
        <f t="shared" si="0"/>
        <v>25.8</v>
      </c>
      <c r="E11" s="6">
        <f t="shared" si="0"/>
        <v>55</v>
      </c>
      <c r="F11" s="6">
        <f t="shared" si="0"/>
        <v>59.1</v>
      </c>
      <c r="G11" s="7">
        <f t="shared" si="0"/>
        <v>1.6830000000000009</v>
      </c>
      <c r="H11" s="7">
        <f t="shared" si="0"/>
        <v>35.172000000000004</v>
      </c>
    </row>
    <row r="12" spans="2:13" ht="14.35" customHeight="1" x14ac:dyDescent="0.45">
      <c r="F12" s="9" t="s">
        <v>38</v>
      </c>
      <c r="G12" s="11">
        <f>G11</f>
        <v>1.6830000000000009</v>
      </c>
    </row>
    <row r="14" spans="2:13" ht="14.35" customHeight="1" x14ac:dyDescent="0.45">
      <c r="B14" s="12" t="s">
        <v>8</v>
      </c>
      <c r="C14" s="1">
        <v>1</v>
      </c>
      <c r="D14" s="1" t="s">
        <v>9</v>
      </c>
    </row>
    <row r="15" spans="2:13" ht="14.35" customHeight="1" x14ac:dyDescent="0.45">
      <c r="B15" s="12" t="s">
        <v>52</v>
      </c>
      <c r="C15" s="1">
        <f>COUNTA(B6:B10)</f>
        <v>5</v>
      </c>
      <c r="D15" s="1" t="s">
        <v>10</v>
      </c>
      <c r="J15" s="1" t="s">
        <v>47</v>
      </c>
      <c r="K15" s="14" t="s">
        <v>48</v>
      </c>
      <c r="L15" s="15"/>
      <c r="M15" s="15"/>
    </row>
    <row r="16" spans="2:13" ht="14.35" customHeight="1" x14ac:dyDescent="0.45">
      <c r="B16" s="12" t="s">
        <v>53</v>
      </c>
      <c r="C16" s="7">
        <f>AVERAGE(D6:D10)</f>
        <v>5.16</v>
      </c>
    </row>
    <row r="17" spans="2:13" ht="14.35" customHeight="1" x14ac:dyDescent="0.45">
      <c r="B17" s="12" t="s">
        <v>16</v>
      </c>
      <c r="C17" s="7">
        <f>G11</f>
        <v>1.6830000000000009</v>
      </c>
      <c r="J17" s="2" t="s">
        <v>11</v>
      </c>
      <c r="M17" s="2" t="s">
        <v>12</v>
      </c>
    </row>
    <row r="18" spans="2:13" ht="14.35" customHeight="1" x14ac:dyDescent="0.45">
      <c r="B18" s="12" t="s">
        <v>17</v>
      </c>
      <c r="C18" s="7">
        <f>SQRT(C17/(C15-(C14+1)))</f>
        <v>0.74899933244296035</v>
      </c>
      <c r="J18" s="6">
        <f>C15</f>
        <v>5</v>
      </c>
      <c r="K18" s="6">
        <f>C11</f>
        <v>15</v>
      </c>
      <c r="M18" s="6">
        <f>D11</f>
        <v>25.8</v>
      </c>
    </row>
    <row r="19" spans="2:13" ht="14.35" customHeight="1" x14ac:dyDescent="0.45">
      <c r="B19" s="12" t="s">
        <v>18</v>
      </c>
      <c r="C19" s="7">
        <f>(H11-G11)/H11</f>
        <v>0.95214943705220068</v>
      </c>
      <c r="J19" s="6">
        <f>C11</f>
        <v>15</v>
      </c>
      <c r="K19" s="6">
        <f>E11</f>
        <v>55</v>
      </c>
      <c r="M19" s="6">
        <f>F11</f>
        <v>59.1</v>
      </c>
    </row>
    <row r="20" spans="2:13" ht="14.35" customHeight="1" x14ac:dyDescent="0.45">
      <c r="B20" s="12" t="s">
        <v>19</v>
      </c>
      <c r="C20" s="7">
        <f>SQRT(C19)</f>
        <v>0.97578144943025058</v>
      </c>
    </row>
    <row r="21" spans="2:13" ht="14.35" customHeight="1" x14ac:dyDescent="0.45">
      <c r="J21" s="2" t="s">
        <v>13</v>
      </c>
    </row>
    <row r="22" spans="2:13" ht="14.35" customHeight="1" x14ac:dyDescent="0.45">
      <c r="B22" s="12" t="s">
        <v>20</v>
      </c>
      <c r="C22" s="1" t="s">
        <v>55</v>
      </c>
      <c r="J22" s="13">
        <f>INDEX(MINVERSE($J$18:$K$19),1,1)</f>
        <v>1.1000000000000005</v>
      </c>
      <c r="K22" s="13">
        <f>INDEX(MINVERSE($J$18:$K$19),1,2)</f>
        <v>-0.3000000000000001</v>
      </c>
    </row>
    <row r="23" spans="2:13" ht="14.35" customHeight="1" x14ac:dyDescent="0.45">
      <c r="B23" s="12" t="s">
        <v>21</v>
      </c>
      <c r="C23" s="10">
        <v>2.5</v>
      </c>
      <c r="D23" s="1" t="s">
        <v>22</v>
      </c>
      <c r="J23" s="13">
        <f>INDEX(MINVERSE($J$18:$K$19),2,1)</f>
        <v>-0.3000000000000001</v>
      </c>
      <c r="K23" s="13">
        <f>INDEX(MINVERSE($J$18:$K$19),2,2)</f>
        <v>0.10000000000000003</v>
      </c>
    </row>
    <row r="24" spans="2:13" ht="14.35" customHeight="1" x14ac:dyDescent="0.45">
      <c r="B24" s="12" t="s">
        <v>23</v>
      </c>
      <c r="C24" s="7">
        <f>$K$26+$K$27*C23</f>
        <v>6.0750000000000028</v>
      </c>
      <c r="D24" s="1" t="s">
        <v>24</v>
      </c>
    </row>
    <row r="25" spans="2:13" ht="14.35" customHeight="1" x14ac:dyDescent="0.45">
      <c r="J25" s="2" t="s">
        <v>54</v>
      </c>
    </row>
    <row r="26" spans="2:13" ht="14.35" customHeight="1" x14ac:dyDescent="0.45">
      <c r="B26" s="12" t="s">
        <v>30</v>
      </c>
      <c r="C26" s="1" t="str">
        <f>"La recta representa el "&amp;TEXT(C19*100,"0.00")&amp;"% de la variabilidad de Y en función de x. La relación es inversa y alta."</f>
        <v>La recta representa el 95.21% de la variabilidad de Y en función de x. La relación es inversa y alta.</v>
      </c>
      <c r="K26" s="13">
        <f>INDEX(MMULT(MINVERSE($J$18:$K$19),$M$18:$M$19),1,1)</f>
        <v>10.650000000000006</v>
      </c>
      <c r="L26" s="1" t="s">
        <v>14</v>
      </c>
    </row>
    <row r="27" spans="2:13" ht="14.35" customHeight="1" x14ac:dyDescent="0.45">
      <c r="B27" s="12" t="s">
        <v>31</v>
      </c>
      <c r="C27" s="1" t="str">
        <f>"A los 2.5 meses la pérdida de peso es "&amp;TEXT(C24,"0.0000")&amp;" kg (con la recta)."</f>
        <v>A los 2.5 meses la pérdida de peso es 6.0750 kg (con la recta).</v>
      </c>
      <c r="K27" s="13">
        <f>INDEX(MMULT(MINVERSE($J$18:$K$19),$M$18:$M$19),2,1)</f>
        <v>-1.830000000000001</v>
      </c>
      <c r="L27" s="1" t="s">
        <v>15</v>
      </c>
    </row>
    <row r="29" spans="2:13" ht="14.35" customHeight="1" x14ac:dyDescent="0.45">
      <c r="B29" s="2" t="s">
        <v>32</v>
      </c>
    </row>
    <row r="53" spans="2:2" ht="14.35" customHeight="1" x14ac:dyDescent="0.45">
      <c r="B53" s="2" t="s">
        <v>61</v>
      </c>
    </row>
    <row r="54" spans="2:2" ht="14.35" customHeight="1" x14ac:dyDescent="0.45">
      <c r="B54" s="1" t="s">
        <v>33</v>
      </c>
    </row>
    <row r="78" spans="2:2" ht="14.35" customHeight="1" x14ac:dyDescent="0.45">
      <c r="B78" s="1" t="s">
        <v>34</v>
      </c>
    </row>
  </sheetData>
  <mergeCells count="1">
    <mergeCell ref="K15:M15"/>
  </mergeCells>
  <pageMargins left="0.7" right="0.7" top="0.75" bottom="0.75" header="0.3" footer="0.3"/>
  <pageSetup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CD04-9BCE-4373-B089-6AA9B02F7E84}">
  <sheetPr>
    <pageSetUpPr fitToPage="1"/>
  </sheetPr>
  <dimension ref="B1:Q54"/>
  <sheetViews>
    <sheetView zoomScale="47" workbookViewId="0">
      <selection activeCell="J50" sqref="J50"/>
    </sheetView>
  </sheetViews>
  <sheetFormatPr defaultRowHeight="14.35" customHeight="1" x14ac:dyDescent="0.45"/>
  <cols>
    <col min="1" max="1" width="3.59765625" style="1" customWidth="1"/>
    <col min="2" max="2" width="14.59765625" style="1" customWidth="1"/>
    <col min="3" max="4" width="9.59765625" style="1" customWidth="1"/>
    <col min="5" max="6" width="11.59765625" style="1" customWidth="1"/>
    <col min="7" max="9" width="12.59765625" style="1" customWidth="1"/>
    <col min="10" max="10" width="20.59765625" style="1" customWidth="1"/>
    <col min="11" max="11" width="14.59765625" style="1" customWidth="1"/>
    <col min="12" max="12" width="3.59765625" style="1" customWidth="1"/>
    <col min="13" max="17" width="12.59765625" style="1" customWidth="1"/>
    <col min="18" max="19" width="14.59765625" style="1" customWidth="1"/>
    <col min="20" max="20" width="4.59765625" style="1" customWidth="1"/>
    <col min="21" max="21" width="14.59765625" style="1" customWidth="1"/>
    <col min="22" max="23" width="12.59765625" style="1" customWidth="1"/>
    <col min="24" max="16384" width="9.06640625" style="1"/>
  </cols>
  <sheetData>
    <row r="1" spans="2:16" ht="190.05" customHeight="1" x14ac:dyDescent="0.45">
      <c r="B1" s="3" t="s">
        <v>0</v>
      </c>
    </row>
    <row r="3" spans="2:16" ht="14.35" customHeight="1" x14ac:dyDescent="0.45">
      <c r="B3" s="2" t="s">
        <v>58</v>
      </c>
    </row>
    <row r="4" spans="2:16" ht="30" customHeight="1" x14ac:dyDescent="0.45">
      <c r="J4" s="4" t="s">
        <v>57</v>
      </c>
    </row>
    <row r="5" spans="2:16" ht="14.35" customHeight="1" x14ac:dyDescent="0.45">
      <c r="B5" s="5" t="s">
        <v>1</v>
      </c>
      <c r="C5" s="5" t="s">
        <v>2</v>
      </c>
      <c r="D5" s="5" t="s">
        <v>3</v>
      </c>
      <c r="E5" s="5" t="s">
        <v>4</v>
      </c>
      <c r="F5" s="5" t="s">
        <v>25</v>
      </c>
      <c r="G5" s="5" t="s">
        <v>26</v>
      </c>
      <c r="H5" s="5" t="s">
        <v>5</v>
      </c>
      <c r="I5" s="5" t="s">
        <v>27</v>
      </c>
      <c r="J5" s="5" t="s">
        <v>59</v>
      </c>
      <c r="K5" s="5" t="s">
        <v>6</v>
      </c>
    </row>
    <row r="6" spans="2:16" ht="14.35" customHeight="1" x14ac:dyDescent="0.45">
      <c r="B6" s="8">
        <v>1</v>
      </c>
      <c r="C6" s="6">
        <v>1</v>
      </c>
      <c r="D6" s="6">
        <v>9</v>
      </c>
      <c r="E6" s="6">
        <f>C6^2</f>
        <v>1</v>
      </c>
      <c r="F6" s="6">
        <f>C6^3</f>
        <v>1</v>
      </c>
      <c r="G6" s="6">
        <f>C6^4</f>
        <v>1</v>
      </c>
      <c r="H6" s="6">
        <f>C6*D6</f>
        <v>9</v>
      </c>
      <c r="I6" s="6">
        <f>E6*D6</f>
        <v>9</v>
      </c>
      <c r="J6" s="7">
        <f>($N$28+$N$29*C6+$N$30*C6^2-D6)^2</f>
        <v>8.4930612244944775E-2</v>
      </c>
      <c r="K6" s="7">
        <f>(D6-$C$16)^2</f>
        <v>14.7456</v>
      </c>
    </row>
    <row r="7" spans="2:16" ht="14.35" customHeight="1" x14ac:dyDescent="0.45">
      <c r="B7" s="8">
        <v>2</v>
      </c>
      <c r="C7" s="6">
        <v>2</v>
      </c>
      <c r="D7" s="6">
        <v>7.5</v>
      </c>
      <c r="E7" s="6">
        <f>C7^2</f>
        <v>4</v>
      </c>
      <c r="F7" s="6">
        <f>C7^3</f>
        <v>8</v>
      </c>
      <c r="G7" s="6">
        <f>C7^4</f>
        <v>16</v>
      </c>
      <c r="H7" s="6">
        <f>C7*D7</f>
        <v>15</v>
      </c>
      <c r="I7" s="6">
        <f>E7*D7</f>
        <v>30</v>
      </c>
      <c r="J7" s="7">
        <f>($N$28+$N$29*C7+$N$30*C7^2-D7)^2</f>
        <v>0.55608979591820817</v>
      </c>
      <c r="K7" s="7">
        <f>(D7-$C$16)^2</f>
        <v>5.4755999999999991</v>
      </c>
    </row>
    <row r="8" spans="2:16" ht="14.35" customHeight="1" x14ac:dyDescent="0.45">
      <c r="B8" s="8">
        <v>3</v>
      </c>
      <c r="C8" s="6">
        <v>3</v>
      </c>
      <c r="D8" s="6">
        <v>4.2</v>
      </c>
      <c r="E8" s="6">
        <f>C8^2</f>
        <v>9</v>
      </c>
      <c r="F8" s="6">
        <f>C8^3</f>
        <v>27</v>
      </c>
      <c r="G8" s="6">
        <f>C8^4</f>
        <v>81</v>
      </c>
      <c r="H8" s="6">
        <f>C8*D8</f>
        <v>12.600000000000001</v>
      </c>
      <c r="I8" s="6">
        <f>E8*D8</f>
        <v>37.800000000000004</v>
      </c>
      <c r="J8" s="7">
        <f>($N$28+$N$29*C8+$N$30*C8^2-D8)^2</f>
        <v>0.2387020408164427</v>
      </c>
      <c r="K8" s="7">
        <f>(D8-$C$16)^2</f>
        <v>0.92159999999999997</v>
      </c>
    </row>
    <row r="9" spans="2:16" ht="14.35" customHeight="1" x14ac:dyDescent="0.45">
      <c r="B9" s="8">
        <v>4</v>
      </c>
      <c r="C9" s="6">
        <v>4</v>
      </c>
      <c r="D9" s="6">
        <v>3</v>
      </c>
      <c r="E9" s="6">
        <f>C9^2</f>
        <v>16</v>
      </c>
      <c r="F9" s="6">
        <f>C9^3</f>
        <v>64</v>
      </c>
      <c r="G9" s="6">
        <f>C9^4</f>
        <v>256</v>
      </c>
      <c r="H9" s="6">
        <f>C9*D9</f>
        <v>12</v>
      </c>
      <c r="I9" s="6">
        <f>E9*D9</f>
        <v>48</v>
      </c>
      <c r="J9" s="7">
        <f>($N$28+$N$29*C9+$N$30*C9^2-D9)^2</f>
        <v>8.8897959183894589E-3</v>
      </c>
      <c r="K9" s="7">
        <f>(D9-$C$16)^2</f>
        <v>4.6656000000000004</v>
      </c>
    </row>
    <row r="10" spans="2:16" ht="14.35" customHeight="1" x14ac:dyDescent="0.45">
      <c r="B10" s="8">
        <v>5</v>
      </c>
      <c r="C10" s="6">
        <v>5</v>
      </c>
      <c r="D10" s="6">
        <v>2.1</v>
      </c>
      <c r="E10" s="6">
        <f>C10^2</f>
        <v>25</v>
      </c>
      <c r="F10" s="6">
        <f>C10^3</f>
        <v>125</v>
      </c>
      <c r="G10" s="6">
        <f>C10^4</f>
        <v>625</v>
      </c>
      <c r="H10" s="6">
        <f>C10*D10</f>
        <v>10.5</v>
      </c>
      <c r="I10" s="6">
        <f>E10*D10</f>
        <v>52.5</v>
      </c>
      <c r="J10" s="7">
        <f>($N$28+$N$29*C10+$N$30*C10^2-D10)^2</f>
        <v>1.6530612244871918E-2</v>
      </c>
      <c r="K10" s="7">
        <f>(D10-$C$16)^2</f>
        <v>9.3635999999999999</v>
      </c>
    </row>
    <row r="11" spans="2:16" ht="14.35" customHeight="1" x14ac:dyDescent="0.45">
      <c r="B11" s="6" t="s">
        <v>7</v>
      </c>
      <c r="C11" s="6">
        <f t="shared" ref="C11:K11" si="0">SUM(C6:C10)</f>
        <v>15</v>
      </c>
      <c r="D11" s="6">
        <f t="shared" si="0"/>
        <v>25.8</v>
      </c>
      <c r="E11" s="6">
        <f t="shared" si="0"/>
        <v>55</v>
      </c>
      <c r="F11" s="6">
        <f t="shared" si="0"/>
        <v>225</v>
      </c>
      <c r="G11" s="6">
        <f t="shared" si="0"/>
        <v>979</v>
      </c>
      <c r="H11" s="6">
        <f t="shared" si="0"/>
        <v>59.1</v>
      </c>
      <c r="I11" s="6">
        <f t="shared" si="0"/>
        <v>177.3</v>
      </c>
      <c r="J11" s="7">
        <f t="shared" si="0"/>
        <v>0.90514285714285703</v>
      </c>
      <c r="K11" s="7">
        <f t="shared" si="0"/>
        <v>35.172000000000004</v>
      </c>
    </row>
    <row r="12" spans="2:16" ht="14.35" customHeight="1" x14ac:dyDescent="0.45">
      <c r="I12" s="9" t="s">
        <v>38</v>
      </c>
      <c r="J12" s="11">
        <f>J11</f>
        <v>0.90514285714285703</v>
      </c>
    </row>
    <row r="14" spans="2:16" ht="14.35" customHeight="1" x14ac:dyDescent="0.45">
      <c r="B14" s="12" t="s">
        <v>8</v>
      </c>
      <c r="C14" s="1">
        <v>2</v>
      </c>
      <c r="D14" s="1" t="s">
        <v>9</v>
      </c>
    </row>
    <row r="15" spans="2:16" ht="14.35" customHeight="1" x14ac:dyDescent="0.45">
      <c r="B15" s="12" t="s">
        <v>52</v>
      </c>
      <c r="C15" s="1">
        <f>COUNTA(B6:B10)</f>
        <v>5</v>
      </c>
      <c r="D15" s="1" t="s">
        <v>10</v>
      </c>
      <c r="M15" s="1" t="s">
        <v>47</v>
      </c>
      <c r="N15" s="14" t="s">
        <v>56</v>
      </c>
      <c r="O15" s="15"/>
      <c r="P15" s="15"/>
    </row>
    <row r="16" spans="2:16" ht="14.35" customHeight="1" x14ac:dyDescent="0.45">
      <c r="B16" s="12" t="s">
        <v>53</v>
      </c>
      <c r="C16" s="7">
        <f>AVERAGE(D6:D10)</f>
        <v>5.16</v>
      </c>
    </row>
    <row r="17" spans="2:17" ht="14.35" customHeight="1" x14ac:dyDescent="0.45">
      <c r="B17" s="12" t="s">
        <v>16</v>
      </c>
      <c r="C17" s="7">
        <f>J11</f>
        <v>0.90514285714285703</v>
      </c>
      <c r="M17" s="2" t="s">
        <v>11</v>
      </c>
      <c r="Q17" s="2" t="s">
        <v>12</v>
      </c>
    </row>
    <row r="18" spans="2:17" ht="14.35" customHeight="1" x14ac:dyDescent="0.45">
      <c r="B18" s="12" t="s">
        <v>17</v>
      </c>
      <c r="C18" s="7">
        <f>SQRT(C17/(C15-(C14+1)))</f>
        <v>0.67273429269766571</v>
      </c>
      <c r="M18" s="6">
        <f>C15</f>
        <v>5</v>
      </c>
      <c r="N18" s="6">
        <f>C11</f>
        <v>15</v>
      </c>
      <c r="O18" s="6">
        <f>E11</f>
        <v>55</v>
      </c>
      <c r="Q18" s="6">
        <f>D11</f>
        <v>25.8</v>
      </c>
    </row>
    <row r="19" spans="2:17" ht="14.35" customHeight="1" x14ac:dyDescent="0.45">
      <c r="B19" s="12" t="s">
        <v>18</v>
      </c>
      <c r="C19" s="7">
        <f>(K11-J11)/K11</f>
        <v>0.97426524345664578</v>
      </c>
      <c r="M19" s="6">
        <f>C11</f>
        <v>15</v>
      </c>
      <c r="N19" s="6">
        <f>E11</f>
        <v>55</v>
      </c>
      <c r="O19" s="6">
        <f>F11</f>
        <v>225</v>
      </c>
      <c r="Q19" s="6">
        <f>H11</f>
        <v>59.1</v>
      </c>
    </row>
    <row r="20" spans="2:17" ht="14.35" customHeight="1" x14ac:dyDescent="0.45">
      <c r="B20" s="12" t="s">
        <v>19</v>
      </c>
      <c r="C20" s="7">
        <f>SQRT(C19)</f>
        <v>0.9870487543463321</v>
      </c>
      <c r="M20" s="6">
        <f>E11</f>
        <v>55</v>
      </c>
      <c r="N20" s="6">
        <f>F11</f>
        <v>225</v>
      </c>
      <c r="O20" s="6">
        <f>G11</f>
        <v>979</v>
      </c>
      <c r="Q20" s="6">
        <f>I11</f>
        <v>177.3</v>
      </c>
    </row>
    <row r="22" spans="2:17" ht="14.35" customHeight="1" x14ac:dyDescent="0.45">
      <c r="B22" s="12" t="s">
        <v>20</v>
      </c>
      <c r="C22" s="1" t="s">
        <v>60</v>
      </c>
      <c r="M22" s="2" t="s">
        <v>13</v>
      </c>
    </row>
    <row r="23" spans="2:17" ht="14.35" customHeight="1" x14ac:dyDescent="0.45">
      <c r="B23" s="12" t="s">
        <v>21</v>
      </c>
      <c r="C23" s="10">
        <v>2.5</v>
      </c>
      <c r="D23" s="1" t="s">
        <v>22</v>
      </c>
      <c r="M23" s="13">
        <f>INDEX(MINVERSE($M$18:$O$20),1,1)</f>
        <v>4.5999999999999268</v>
      </c>
      <c r="N23" s="13">
        <f>INDEX(MINVERSE($M$18:$O$20),1,2)</f>
        <v>-3.299999999999939</v>
      </c>
      <c r="O23" s="13">
        <f>INDEX(MINVERSE($M$18:$O$20),1,3)</f>
        <v>0.49999999999999045</v>
      </c>
    </row>
    <row r="24" spans="2:17" ht="14.35" customHeight="1" x14ac:dyDescent="0.45">
      <c r="B24" s="12" t="s">
        <v>29</v>
      </c>
      <c r="C24" s="7">
        <f>$N$28+$N$29*C23+$N$30*C23^2</f>
        <v>5.6625000000001151</v>
      </c>
      <c r="D24" s="1" t="s">
        <v>24</v>
      </c>
      <c r="M24" s="13">
        <f>INDEX(MINVERSE($M$18:$O$20),2,1)</f>
        <v>-3.2999999999999434</v>
      </c>
      <c r="N24" s="13">
        <f>INDEX(MINVERSE($M$18:$O$20),2,2)</f>
        <v>2.6714285714285255</v>
      </c>
      <c r="O24" s="13">
        <f>INDEX(MINVERSE($M$18:$O$20),2,3)</f>
        <v>-0.42857142857142122</v>
      </c>
    </row>
    <row r="25" spans="2:17" ht="14.35" customHeight="1" x14ac:dyDescent="0.45">
      <c r="M25" s="13">
        <f>INDEX(MINVERSE($M$18:$O$20),3,1)</f>
        <v>0.49999999999999112</v>
      </c>
      <c r="N25" s="13">
        <f>INDEX(MINVERSE($M$18:$O$20),3,2)</f>
        <v>-0.42857142857142139</v>
      </c>
      <c r="O25" s="13">
        <f>INDEX(MINVERSE($M$18:$O$20),3,3)</f>
        <v>7.1428571428570273E-2</v>
      </c>
    </row>
    <row r="26" spans="2:17" ht="14.35" customHeight="1" x14ac:dyDescent="0.45">
      <c r="B26" s="12" t="s">
        <v>30</v>
      </c>
      <c r="C26" s="1" t="str">
        <f>"La parábola representa el "&amp;TEXT(C19*100,"0.00")&amp;"% de la variabilidad de Y en función de x. La relación es inversa y alta."</f>
        <v>La parábola representa el 97.43% de la variabilidad de Y en función de x. La relación es inversa y alta.</v>
      </c>
    </row>
    <row r="27" spans="2:17" ht="14.35" customHeight="1" x14ac:dyDescent="0.45">
      <c r="B27" s="12" t="s">
        <v>31</v>
      </c>
      <c r="C27" s="1" t="str">
        <f>"A los 2.5 meses la pérdida de peso es "&amp;TEXT(C24,"0.0000")&amp;" kg (con la parábola)."</f>
        <v>A los 2.5 meses la pérdida de peso es 5.6625 kg (con la parábola).</v>
      </c>
      <c r="M27" s="2" t="s">
        <v>54</v>
      </c>
    </row>
    <row r="28" spans="2:17" ht="14.35" customHeight="1" x14ac:dyDescent="0.45">
      <c r="N28" s="13">
        <f>INDEX(MMULT(MINVERSE($M$18:$O$20),$Q$18:$Q$20),1,1)</f>
        <v>12.30000000000004</v>
      </c>
      <c r="O28" s="1" t="s">
        <v>14</v>
      </c>
    </row>
    <row r="29" spans="2:17" ht="14.35" customHeight="1" x14ac:dyDescent="0.45">
      <c r="B29" s="2" t="s">
        <v>32</v>
      </c>
      <c r="N29" s="13">
        <f>INDEX(MMULT(MINVERSE($M$18:$O$20),$Q$18:$Q$20),2,1)</f>
        <v>-3.2442857142856667</v>
      </c>
      <c r="O29" s="1" t="s">
        <v>15</v>
      </c>
    </row>
    <row r="30" spans="2:17" ht="14.35" customHeight="1" x14ac:dyDescent="0.45">
      <c r="N30" s="13">
        <f>INDEX(MMULT(MINVERSE($M$18:$O$20),$Q$18:$Q$20),3,1)</f>
        <v>0.23571428571427866</v>
      </c>
      <c r="O30" s="1" t="s">
        <v>28</v>
      </c>
    </row>
    <row r="53" spans="2:2" ht="14.35" customHeight="1" x14ac:dyDescent="0.45">
      <c r="B53" s="2" t="s">
        <v>61</v>
      </c>
    </row>
    <row r="54" spans="2:2" ht="14.35" customHeight="1" x14ac:dyDescent="0.45">
      <c r="B54" s="1" t="s">
        <v>35</v>
      </c>
    </row>
  </sheetData>
  <mergeCells count="1">
    <mergeCell ref="N15:P15"/>
  </mergeCells>
  <pageMargins left="0.7" right="0.7" top="0.75" bottom="0.75" header="0.3" footer="0.3"/>
  <pageSetup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7D70-FEA5-45ED-A621-DEF42DE60A95}">
  <sheetPr>
    <pageSetUpPr fitToPage="1"/>
  </sheetPr>
  <dimension ref="B1:I12"/>
  <sheetViews>
    <sheetView tabSelected="1" zoomScale="74" workbookViewId="0">
      <selection activeCell="G14" sqref="G14"/>
    </sheetView>
  </sheetViews>
  <sheetFormatPr defaultRowHeight="14.35" customHeight="1" x14ac:dyDescent="0.45"/>
  <cols>
    <col min="1" max="1" width="3.59765625" style="1" customWidth="1"/>
    <col min="2" max="3" width="26.59765625" style="1" customWidth="1"/>
    <col min="4" max="7" width="14.59765625" style="1" customWidth="1"/>
    <col min="8" max="8" width="16.59765625" style="1" customWidth="1"/>
    <col min="9" max="9" width="12.59765625" style="1" customWidth="1"/>
    <col min="10" max="16384" width="9.06640625" style="1"/>
  </cols>
  <sheetData>
    <row r="1" spans="2:9" ht="190.05" customHeight="1" x14ac:dyDescent="0.45">
      <c r="B1" s="3" t="s">
        <v>0</v>
      </c>
    </row>
    <row r="3" spans="2:9" ht="14.35" customHeight="1" x14ac:dyDescent="0.45"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</row>
    <row r="4" spans="2:9" ht="14.35" customHeight="1" x14ac:dyDescent="0.45">
      <c r="B4" s="6" t="s">
        <v>43</v>
      </c>
      <c r="C4" s="6" t="str">
        <f>TEXT(recta!K26,"0.0000")&amp;TEXT(recta!K27,"+0.0000;-0.0000")&amp;"x"</f>
        <v>10.6500-1.8300x</v>
      </c>
      <c r="D4" s="7">
        <f>recta!C17</f>
        <v>1.6830000000000009</v>
      </c>
      <c r="E4" s="7">
        <f>recta!C18</f>
        <v>0.74899933244296035</v>
      </c>
      <c r="F4" s="7">
        <f>recta!C19</f>
        <v>0.95214943705220068</v>
      </c>
      <c r="G4" s="7">
        <f>recta!C20</f>
        <v>0.97578144943025058</v>
      </c>
      <c r="H4" s="7">
        <f>recta!C24</f>
        <v>6.0750000000000028</v>
      </c>
    </row>
    <row r="5" spans="2:9" ht="14.35" customHeight="1" x14ac:dyDescent="0.45">
      <c r="B5" s="6" t="s">
        <v>44</v>
      </c>
      <c r="C5" s="6" t="str">
        <f>TEXT(parabola!N28,"0.0000")&amp;TEXT(parabola!N29,"+0.0000;-0.0000")&amp;"x"&amp;TEXT(parabola!N30,"+0.0000;-0.0000")&amp;"x^2"</f>
        <v>12.3000-3.2443x+0.2357x^2</v>
      </c>
      <c r="D5" s="7">
        <f>parabola!C17</f>
        <v>0.90514285714285703</v>
      </c>
      <c r="E5" s="7">
        <f>parabola!C18</f>
        <v>0.67273429269766571</v>
      </c>
      <c r="F5" s="7">
        <f>parabola!C19</f>
        <v>0.97426524345664578</v>
      </c>
      <c r="G5" s="7">
        <f>parabola!C20</f>
        <v>0.9870487543463321</v>
      </c>
      <c r="H5" s="7">
        <f>parabola!C24</f>
        <v>5.6625000000001151</v>
      </c>
    </row>
    <row r="7" spans="2:9" ht="14.35" customHeight="1" x14ac:dyDescent="0.45">
      <c r="B7" s="2" t="s">
        <v>45</v>
      </c>
      <c r="C7" s="1" t="str">
        <f>IF(D5&lt;D4,"la parábola (menor Q y menor Sy/x, mayor r^2)","la recta (menor Q y menor Sy/x, mayor r^2)")</f>
        <v>la parábola (menor Q y menor Sy/x, mayor r^2)</v>
      </c>
    </row>
    <row r="8" spans="2:9" ht="14.35" customHeight="1" x14ac:dyDescent="0.45">
      <c r="B8" s="2" t="s">
        <v>46</v>
      </c>
      <c r="C8" s="1" t="str">
        <f>TEXT(IF(D5&lt;D4,H5,H4),"0.0000")&amp;" kg"</f>
        <v>5.6625 kg</v>
      </c>
    </row>
    <row r="9" spans="2:9" ht="14.35" customHeight="1" x14ac:dyDescent="0.45">
      <c r="B9" s="2" t="s">
        <v>30</v>
      </c>
      <c r="C9" s="1" t="str">
        <f>"La parábola representa el "&amp;TEXT(F5*100,"0.00")&amp;"% de la variabilidad de Y y la recta el "&amp;TEXT(F4*100,"0.00")&amp;"%."</f>
        <v>La parábola representa el 97.43% de la variabilidad de Y y la recta el 95.21%.</v>
      </c>
    </row>
    <row r="10" spans="2:9" ht="40.049999999999997" customHeight="1" x14ac:dyDescent="0.45">
      <c r="B10" s="2" t="s">
        <v>31</v>
      </c>
      <c r="C10" s="16" t="str">
        <f>"El mejor ajuste es el que tiene Q más cerca de 0: "&amp;C7&amp;". Con ese ajuste, a los 2.5 meses la pérdida de peso es "&amp;C8&amp;"."</f>
        <v>El mejor ajuste es el que tiene Q más cerca de 0: la parábola (menor Q y menor Sy/x, mayor r^2). Con ese ajuste, a los 2.5 meses la pérdida de peso es 5.6625 kg.</v>
      </c>
      <c r="D10" s="16"/>
      <c r="E10" s="16"/>
      <c r="F10" s="16"/>
      <c r="G10" s="16"/>
      <c r="H10" s="16"/>
      <c r="I10" s="16"/>
    </row>
    <row r="12" spans="2:9" ht="14.35" customHeight="1" x14ac:dyDescent="0.45">
      <c r="B12" s="2" t="s">
        <v>32</v>
      </c>
    </row>
  </sheetData>
  <mergeCells count="1">
    <mergeCell ref="C10:I10"/>
  </mergeCells>
  <pageMargins left="0.7" right="0.7" top="0.75" bottom="0.75" header="0.3" footer="0.3"/>
  <pageSetup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recta</vt:lpstr>
      <vt:lpstr>parabola</vt:lpstr>
      <vt:lpstr>comparacion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YASEN CUTIPA MAYHUA</dc:creator>
  <cp:lastModifiedBy>YASEN CUTIPA MAYHUA</cp:lastModifiedBy>
  <cp:lastPrinted>2026-10-07T19:53:33Z</cp:lastPrinted>
  <dcterms:created xsi:type="dcterms:W3CDTF">2026-10-07T19:35:43Z</dcterms:created>
  <dcterms:modified xsi:type="dcterms:W3CDTF">2026-10-07T19:58:54Z</dcterms:modified>
</cp:coreProperties>
</file>