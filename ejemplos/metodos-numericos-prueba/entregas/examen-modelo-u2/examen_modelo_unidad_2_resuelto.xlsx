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en\Downloads\metodo numerico 6to\"/>
    </mc:Choice>
  </mc:AlternateContent>
  <xr:revisionPtr revIDLastSave="0" documentId="13_ncr:1_{4ED91781-E18B-42C2-A1B3-7737860DA33D}" xr6:coauthVersionLast="47" xr6:coauthVersionMax="47" xr10:uidLastSave="{00000000-0000-0000-0000-000000000000}"/>
  <bookViews>
    <workbookView xWindow="-98" yWindow="-98" windowWidth="19396" windowHeight="11475" firstSheet="1" activeTab="2" xr2:uid="{8C71A8C8-D328-4174-9E09-FD94A7A9A1B2}"/>
  </bookViews>
  <sheets>
    <sheet name="Ejercicio 1" sheetId="1" r:id="rId1"/>
    <sheet name="Ejercicio 2" sheetId="2" r:id="rId2"/>
    <sheet name="Ejercicio 3" sheetId="3" r:id="rId3"/>
    <sheet name="Ejercicio 4" sheetId="4" r:id="rId4"/>
    <sheet name="Ejercicio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2" i="4" l="1"/>
  <c r="B51" i="4"/>
  <c r="B50" i="4"/>
  <c r="J37" i="4"/>
  <c r="J36" i="4"/>
  <c r="J35" i="4"/>
  <c r="J34" i="4"/>
  <c r="J33" i="4"/>
  <c r="J32" i="4"/>
  <c r="B49" i="4"/>
  <c r="B59" i="2"/>
  <c r="B58" i="2"/>
  <c r="B57" i="2"/>
  <c r="C116" i="1"/>
  <c r="B118" i="1"/>
  <c r="B117" i="1"/>
  <c r="B116" i="1"/>
  <c r="H114" i="1"/>
  <c r="H113" i="1"/>
  <c r="H112" i="1"/>
  <c r="F113" i="1"/>
  <c r="E113" i="1"/>
  <c r="D113" i="1"/>
  <c r="E112" i="1"/>
  <c r="D112" i="1"/>
  <c r="C112" i="1"/>
  <c r="B114" i="1"/>
  <c r="B113" i="1"/>
  <c r="B112" i="1"/>
  <c r="H110" i="1"/>
  <c r="H109" i="1"/>
  <c r="H108" i="1"/>
  <c r="F109" i="1"/>
  <c r="E109" i="1"/>
  <c r="D109" i="1"/>
  <c r="E108" i="1"/>
  <c r="D108" i="1"/>
  <c r="C102" i="1"/>
  <c r="B104" i="1"/>
  <c r="B103" i="1"/>
  <c r="B102" i="1"/>
  <c r="H100" i="1"/>
  <c r="H99" i="1"/>
  <c r="H98" i="1"/>
  <c r="F99" i="1"/>
  <c r="E99" i="1"/>
  <c r="D99" i="1"/>
  <c r="E98" i="1"/>
  <c r="D98" i="1"/>
  <c r="C98" i="1"/>
  <c r="B100" i="1"/>
  <c r="B99" i="1"/>
  <c r="B98" i="1"/>
  <c r="H96" i="1"/>
  <c r="H95" i="1"/>
  <c r="H94" i="1"/>
  <c r="F95" i="1"/>
  <c r="E95" i="1"/>
  <c r="D95" i="1"/>
  <c r="E94" i="1"/>
  <c r="D94" i="1"/>
  <c r="C88" i="1"/>
  <c r="B90" i="1"/>
  <c r="B89" i="1"/>
  <c r="B88" i="1"/>
  <c r="H86" i="1"/>
  <c r="H85" i="1"/>
  <c r="H84" i="1"/>
  <c r="F85" i="1"/>
  <c r="E85" i="1"/>
  <c r="D85" i="1"/>
  <c r="E84" i="1"/>
  <c r="D84" i="1"/>
  <c r="C84" i="1"/>
  <c r="B86" i="1"/>
  <c r="B85" i="1"/>
  <c r="B84" i="1"/>
  <c r="H82" i="1"/>
  <c r="H81" i="1"/>
  <c r="H80" i="1"/>
  <c r="F81" i="1"/>
  <c r="E81" i="1"/>
  <c r="D81" i="1"/>
  <c r="E80" i="1"/>
  <c r="D80" i="1"/>
  <c r="G74" i="1"/>
  <c r="F74" i="1"/>
  <c r="E74" i="1"/>
  <c r="G73" i="1"/>
  <c r="F73" i="1"/>
  <c r="E73" i="1"/>
  <c r="G72" i="1"/>
  <c r="F72" i="1"/>
  <c r="E72" i="1"/>
  <c r="G71" i="1"/>
  <c r="F71" i="1"/>
  <c r="E71" i="1"/>
  <c r="B42" i="5"/>
  <c r="B40" i="5"/>
  <c r="B39" i="5"/>
  <c r="B38" i="5"/>
  <c r="B37" i="5"/>
  <c r="C35" i="5"/>
  <c r="B35" i="5"/>
  <c r="C34" i="5"/>
  <c r="B34" i="5"/>
  <c r="C33" i="5"/>
  <c r="B33" i="5"/>
  <c r="B47" i="4"/>
  <c r="B46" i="4"/>
  <c r="B44" i="4"/>
  <c r="B43" i="4"/>
  <c r="B42" i="4"/>
  <c r="H42" i="4"/>
  <c r="H41" i="4"/>
  <c r="H40" i="4"/>
  <c r="F42" i="4"/>
  <c r="E42" i="4"/>
  <c r="D42" i="4"/>
  <c r="F41" i="4"/>
  <c r="E41" i="4"/>
  <c r="D41" i="4"/>
  <c r="F40" i="4"/>
  <c r="E40" i="4"/>
  <c r="D40" i="4"/>
  <c r="B39" i="4"/>
  <c r="H37" i="4"/>
  <c r="G37" i="4"/>
  <c r="F37" i="4"/>
  <c r="E37" i="4"/>
  <c r="D37" i="4"/>
  <c r="C37" i="4"/>
  <c r="B37" i="4"/>
  <c r="H36" i="4"/>
  <c r="G36" i="4"/>
  <c r="F36" i="4"/>
  <c r="E36" i="4"/>
  <c r="D36" i="4"/>
  <c r="H35" i="4"/>
  <c r="G35" i="4"/>
  <c r="F35" i="4"/>
  <c r="E35" i="4"/>
  <c r="D35" i="4"/>
  <c r="H34" i="4"/>
  <c r="G34" i="4"/>
  <c r="F34" i="4"/>
  <c r="E34" i="4"/>
  <c r="D34" i="4"/>
  <c r="H33" i="4"/>
  <c r="G33" i="4"/>
  <c r="F33" i="4"/>
  <c r="E33" i="4"/>
  <c r="D33" i="4"/>
  <c r="H32" i="4"/>
  <c r="G32" i="4"/>
  <c r="F32" i="4"/>
  <c r="E32" i="4"/>
  <c r="D32" i="4"/>
  <c r="B32" i="3"/>
  <c r="G26" i="3"/>
  <c r="F27" i="3"/>
  <c r="F26" i="3"/>
  <c r="E28" i="3"/>
  <c r="E27" i="3"/>
  <c r="E26" i="3"/>
  <c r="D29" i="3"/>
  <c r="D28" i="3"/>
  <c r="D27" i="3"/>
  <c r="D26" i="3"/>
  <c r="D41" i="1"/>
  <c r="C41" i="1"/>
  <c r="B41" i="1"/>
  <c r="C65" i="1"/>
  <c r="B67" i="1"/>
  <c r="B66" i="1"/>
  <c r="B65" i="1"/>
  <c r="C62" i="1"/>
  <c r="B64" i="1"/>
  <c r="B63" i="1"/>
  <c r="B62" i="1"/>
  <c r="B61" i="1"/>
  <c r="B60" i="1"/>
  <c r="B59" i="1"/>
  <c r="D54" i="1"/>
  <c r="C54" i="1"/>
  <c r="B54" i="1"/>
  <c r="D53" i="1"/>
  <c r="C53" i="1"/>
  <c r="B53" i="1"/>
  <c r="D52" i="1"/>
  <c r="C52" i="1"/>
  <c r="B52" i="1"/>
  <c r="D51" i="1"/>
  <c r="C51" i="1"/>
  <c r="B51" i="1"/>
  <c r="F48" i="1"/>
  <c r="D48" i="1"/>
  <c r="B48" i="1"/>
  <c r="B49" i="2"/>
  <c r="G30" i="2"/>
  <c r="G29" i="2"/>
  <c r="C31" i="2"/>
  <c r="B39" i="2" s="1"/>
  <c r="D30" i="2"/>
  <c r="B30" i="2"/>
  <c r="D29" i="2"/>
  <c r="B37" i="2" s="1"/>
  <c r="C25" i="2"/>
  <c r="B25" i="2"/>
  <c r="D25" i="2" s="1"/>
  <c r="C24" i="2"/>
  <c r="B24" i="2"/>
  <c r="D24" i="2" s="1"/>
  <c r="C23" i="2"/>
  <c r="B23" i="2"/>
  <c r="D23" i="2" s="1"/>
  <c r="I23" i="1"/>
  <c r="I22" i="1"/>
  <c r="I21" i="1"/>
  <c r="B30" i="1"/>
  <c r="B29" i="1"/>
  <c r="B28" i="1"/>
  <c r="F23" i="1"/>
  <c r="E23" i="1"/>
  <c r="D23" i="1"/>
  <c r="E22" i="1"/>
  <c r="D22" i="1"/>
  <c r="B26" i="1"/>
  <c r="B25" i="1"/>
  <c r="B24" i="1"/>
  <c r="I35" i="4" l="1"/>
  <c r="I34" i="4"/>
  <c r="I33" i="4"/>
  <c r="I36" i="4"/>
  <c r="I32" i="4"/>
  <c r="B21" i="3"/>
  <c r="B50" i="2"/>
  <c r="B38" i="2"/>
  <c r="B41" i="2" s="1"/>
  <c r="C40" i="2" s="1"/>
  <c r="B40" i="2"/>
  <c r="B42" i="2"/>
  <c r="C37" i="2"/>
  <c r="I26" i="1"/>
  <c r="F30" i="1"/>
  <c r="E29" i="1"/>
  <c r="I25" i="1"/>
  <c r="E30" i="1"/>
  <c r="B34" i="1"/>
  <c r="I24" i="1"/>
  <c r="J24" i="1" s="1"/>
  <c r="B32" i="1"/>
  <c r="D29" i="1"/>
  <c r="B36" i="1"/>
  <c r="I27" i="1" s="1"/>
  <c r="D30" i="1"/>
  <c r="B33" i="1"/>
  <c r="I37" i="4" l="1"/>
  <c r="B51" i="2"/>
  <c r="B52" i="2" s="1"/>
  <c r="C49" i="2"/>
  <c r="B38" i="1"/>
  <c r="I29" i="1" s="1"/>
  <c r="B37" i="1"/>
  <c r="I28" i="1" s="1"/>
  <c r="J27" i="1" s="1"/>
  <c r="B53" i="2" l="1"/>
  <c r="B54" i="2" l="1"/>
  <c r="C52" i="2"/>
</calcChain>
</file>

<file path=xl/sharedStrings.xml><?xml version="1.0" encoding="utf-8"?>
<sst xmlns="http://schemas.openxmlformats.org/spreadsheetml/2006/main" count="153" uniqueCount="118">
  <si>
    <t>Ejercicio 1:</t>
  </si>
  <si>
    <t>Sistema: x^2+y^2-z=0 ,  x^2+y^2+z^2=2 ,  3y+z=1.  X0=(1, 0, 0). Dos iteraciones de Newton y de punto fijo.</t>
  </si>
  <si>
    <t>Newton-Raphson.  X1 = X0 - inv(J) F</t>
  </si>
  <si>
    <t>X0</t>
  </si>
  <si>
    <t>F</t>
  </si>
  <si>
    <t>J</t>
  </si>
  <si>
    <t>X1</t>
  </si>
  <si>
    <t>F(X1)</t>
  </si>
  <si>
    <t>J(X1)</t>
  </si>
  <si>
    <t>X2</t>
  </si>
  <si>
    <t>i</t>
  </si>
  <si>
    <t>Xi</t>
  </si>
  <si>
    <t>Ei</t>
  </si>
  <si>
    <t>Evidencias Octave (Ventana de comandos)</t>
  </si>
  <si>
    <t>Ejercicio 2:</t>
  </si>
  <si>
    <t>Reordenado para que sea E.D.D.</t>
  </si>
  <si>
    <t>-3x - z = 2</t>
  </si>
  <si>
    <t>-x + 4y - 2z = 7</t>
  </si>
  <si>
    <t>-y + 2z = 0</t>
  </si>
  <si>
    <t>|a11|</t>
  </si>
  <si>
    <t>|a22|</t>
  </si>
  <si>
    <t>|a33|</t>
  </si>
  <si>
    <t>Es E.D.D. Jacobi y Gauss-Seidel convergen. X0=(0,0,0). Dos iteraciones.</t>
  </si>
  <si>
    <t>Bj</t>
  </si>
  <si>
    <t>C</t>
  </si>
  <si>
    <t>X Jacobi</t>
  </si>
  <si>
    <t>Gauss-Seidel. Usa el valor nuevo.</t>
  </si>
  <si>
    <t>X Seidel</t>
  </si>
  <si>
    <t>Solucion del sistema: x=-1 , y=2 , z=1.</t>
  </si>
  <si>
    <t>eq1</t>
  </si>
  <si>
    <t>eq2</t>
  </si>
  <si>
    <t>eq3</t>
  </si>
  <si>
    <t>Ejercicio 3:</t>
  </si>
  <si>
    <t>Cable entre torres. Newton con todos los nodos. Flecha en x=200.</t>
  </si>
  <si>
    <t>flecha</t>
  </si>
  <si>
    <t>Ejercicio 4:</t>
  </si>
  <si>
    <t>v = a0 + a1 r + a2 r^2.  Velocidad en r = 4 cm.</t>
  </si>
  <si>
    <t>suma</t>
  </si>
  <si>
    <t>media</t>
  </si>
  <si>
    <t>n</t>
  </si>
  <si>
    <t>m</t>
  </si>
  <si>
    <t>b</t>
  </si>
  <si>
    <t>a0</t>
  </si>
  <si>
    <t>a1</t>
  </si>
  <si>
    <t>a2</t>
  </si>
  <si>
    <t>Q</t>
  </si>
  <si>
    <t>St</t>
  </si>
  <si>
    <t>r^2</t>
  </si>
  <si>
    <t>Ejercicio 5:</t>
  </si>
  <si>
    <t>Punto</t>
  </si>
  <si>
    <t>x</t>
  </si>
  <si>
    <t>y</t>
  </si>
  <si>
    <t>L0</t>
  </si>
  <si>
    <t>L1</t>
  </si>
  <si>
    <t>L2</t>
  </si>
  <si>
    <t>suma L</t>
  </si>
  <si>
    <t>En (1,0,0)</t>
  </si>
  <si>
    <t>x0</t>
  </si>
  <si>
    <t>Segunda forma</t>
  </si>
  <si>
    <t>g1=(2-y^2-z^2)/x</t>
  </si>
  <si>
    <t>g2=(1-z)/3</t>
  </si>
  <si>
    <t>g3=x^2+y^2</t>
  </si>
  <si>
    <t>y0</t>
  </si>
  <si>
    <t>z0</t>
  </si>
  <si>
    <t>d/dx</t>
  </si>
  <si>
    <t>d/dy</t>
  </si>
  <si>
    <t>d/dz</t>
  </si>
  <si>
    <t>g1</t>
  </si>
  <si>
    <t>g2</t>
  </si>
  <si>
    <t>g3</t>
  </si>
  <si>
    <t>No converge: la suma en x es 4 y no es menor que 1. El enunciado pide igual las dos iteraciones.</t>
  </si>
  <si>
    <t>Primera forma de la pizarra: g1=sqrt(z-y^2), g2=sqrt(2-x^2-z^2), g3=1-3*y</t>
  </si>
  <si>
    <t>g2=1, pero dg1/dz no existe: el radicando de g1 es 0. No sirve.</t>
  </si>
  <si>
    <t>Usar Newton</t>
  </si>
  <si>
    <t>x=</t>
  </si>
  <si>
    <t>y=</t>
  </si>
  <si>
    <t>Diferencias 0</t>
  </si>
  <si>
    <t>Diferencia 1</t>
  </si>
  <si>
    <t>Diferencia 2</t>
  </si>
  <si>
    <t>Diferencia 3</t>
  </si>
  <si>
    <t>Diferencia 4</t>
  </si>
  <si>
    <t>f[xk]=f(xk)</t>
  </si>
  <si>
    <t>f[xk,xk+1]</t>
  </si>
  <si>
    <t>f[xk,xk+1,xk+2]</t>
  </si>
  <si>
    <t>f[xk..xk+3]</t>
  </si>
  <si>
    <t>f[xk..xk+4]</t>
  </si>
  <si>
    <t>La tabla es progresiva: y se arma con la primera fila de cada diferencia. La ultima casilla de cada columna queda vacia.</t>
  </si>
  <si>
    <t>Polinomio de interpolacion</t>
  </si>
  <si>
    <t>Polinomio grado 2:</t>
  </si>
  <si>
    <t>P2(x)=a0+a1x+a2x^2</t>
  </si>
  <si>
    <t>xi</t>
  </si>
  <si>
    <t>yi</t>
  </si>
  <si>
    <t>xi^2</t>
  </si>
  <si>
    <t>xi^3</t>
  </si>
  <si>
    <t>xi^4</t>
  </si>
  <si>
    <t>xi*yi</t>
  </si>
  <si>
    <t>xi^2*yi</t>
  </si>
  <si>
    <t>(P2-yi)^2</t>
  </si>
  <si>
    <t>P2(4)</t>
  </si>
  <si>
    <t>Parabola por minimos cuadrados. P2(4) es la velocidad en r = 4 cm.</t>
  </si>
  <si>
    <t>Lagrange</t>
  </si>
  <si>
    <t>P2(x)=y0*L0(x)+y1*L1(x)+y2*L2(x)</t>
  </si>
  <si>
    <t>Polinomio de segundo grado</t>
  </si>
  <si>
    <t>Puntos (1), (2) y (3). Se intercambian x e y.</t>
  </si>
  <si>
    <t>P2(2)</t>
  </si>
  <si>
    <t>Cuando la amplitud es 2 cm, el tiempo es P2(2) min.</t>
  </si>
  <si>
    <t>b) Comprobar (+-1, 0, 0)</t>
  </si>
  <si>
    <t>z</t>
  </si>
  <si>
    <t>f1</t>
  </si>
  <si>
    <t>f2</t>
  </si>
  <si>
    <t>f3</t>
  </si>
  <si>
    <t>(1,0,0) y (-1,0,0) no son solucion: F=(1,-1,-1). Si lo son (1,0,1) y (-1,0,1).</t>
  </si>
  <si>
    <t>c) Newton desde otros puntos. Dos iteraciones.</t>
  </si>
  <si>
    <t>Desde (1, 1, 0)</t>
  </si>
  <si>
    <t>Desde (2, 0, 0)</t>
  </si>
  <si>
    <t>Desde (-1, 0, 0)</t>
  </si>
  <si>
    <t>Desde (1,1,0) y (2,0,0) se acercan a (1,0,1). Desde (-1,0,0) se acercan a (-1,0,1).</t>
  </si>
  <si>
    <t>(yi-media)^2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</si>
</sst>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"/>
    <numFmt numFmtId="166" formatCode="???/???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rgb="FF3278DC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4" fillId="0" borderId="9" xfId="0" applyFont="1" applyBorder="1" applyAlignment="1">
      <alignment horizontal="center"/>
    </xf>
    <xf numFmtId="164" fontId="1" fillId="0" borderId="0" xfId="0" applyNumberFormat="1" applyFont="1"/>
    <xf numFmtId="164" fontId="1" fillId="0" borderId="10" xfId="0" applyNumberFormat="1" applyFont="1" applyBorder="1"/>
    <xf numFmtId="164" fontId="1" fillId="0" borderId="8" xfId="0" applyNumberFormat="1" applyFont="1" applyBorder="1"/>
    <xf numFmtId="164" fontId="1" fillId="0" borderId="11" xfId="0" applyNumberFormat="1" applyFont="1" applyBorder="1"/>
    <xf numFmtId="0" fontId="1" fillId="0" borderId="1" xfId="0" applyFont="1" applyBorder="1"/>
    <xf numFmtId="0" fontId="1" fillId="0" borderId="2" xfId="0" applyFont="1" applyBorder="1"/>
    <xf numFmtId="164" fontId="1" fillId="0" borderId="3" xfId="0" applyNumberFormat="1" applyFont="1" applyBorder="1"/>
    <xf numFmtId="0" fontId="1" fillId="0" borderId="12" xfId="0" applyFont="1" applyBorder="1"/>
    <xf numFmtId="164" fontId="1" fillId="0" borderId="13" xfId="0" applyNumberFormat="1" applyFont="1" applyBorder="1"/>
    <xf numFmtId="164" fontId="1" fillId="0" borderId="14" xfId="0" applyNumberFormat="1" applyFont="1" applyBorder="1"/>
    <xf numFmtId="164" fontId="1" fillId="0" borderId="15" xfId="0" applyNumberFormat="1" applyFont="1" applyBorder="1"/>
    <xf numFmtId="0" fontId="5" fillId="0" borderId="0" xfId="0" applyFont="1" applyAlignment="1">
      <alignment wrapText="1"/>
    </xf>
    <xf numFmtId="164" fontId="1" fillId="0" borderId="2" xfId="0" applyNumberFormat="1" applyFont="1" applyBorder="1"/>
    <xf numFmtId="164" fontId="1" fillId="0" borderId="1" xfId="0" applyNumberFormat="1" applyFont="1" applyBorder="1"/>
    <xf numFmtId="164" fontId="1" fillId="0" borderId="12" xfId="0" applyNumberFormat="1" applyFont="1" applyBorder="1"/>
    <xf numFmtId="164" fontId="1" fillId="0" borderId="16" xfId="0" applyNumberFormat="1" applyFont="1" applyBorder="1"/>
    <xf numFmtId="164" fontId="1" fillId="0" borderId="17" xfId="0" applyNumberFormat="1" applyFont="1" applyBorder="1"/>
    <xf numFmtId="164" fontId="1" fillId="0" borderId="18" xfId="0" applyNumberFormat="1" applyFont="1" applyBorder="1"/>
    <xf numFmtId="0" fontId="4" fillId="2" borderId="0" xfId="0" applyFont="1" applyFill="1"/>
    <xf numFmtId="165" fontId="4" fillId="2" borderId="0" xfId="0" applyNumberFormat="1" applyFont="1" applyFill="1"/>
    <xf numFmtId="0" fontId="6" fillId="2" borderId="0" xfId="0" applyFont="1" applyFill="1"/>
    <xf numFmtId="0" fontId="5" fillId="0" borderId="0" xfId="0" applyFont="1"/>
    <xf numFmtId="164" fontId="4" fillId="0" borderId="4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1" fillId="0" borderId="27" xfId="0" applyFont="1" applyBorder="1"/>
    <xf numFmtId="164" fontId="1" fillId="0" borderId="28" xfId="0" applyNumberFormat="1" applyFont="1" applyBorder="1"/>
    <xf numFmtId="164" fontId="3" fillId="0" borderId="29" xfId="0" applyNumberFormat="1" applyFont="1" applyBorder="1" applyAlignment="1">
      <alignment wrapText="1"/>
    </xf>
    <xf numFmtId="164" fontId="1" fillId="0" borderId="27" xfId="0" applyNumberFormat="1" applyFont="1" applyBorder="1"/>
    <xf numFmtId="0" fontId="1" fillId="0" borderId="23" xfId="0" applyFont="1" applyBorder="1"/>
    <xf numFmtId="164" fontId="1" fillId="0" borderId="25" xfId="0" applyNumberFormat="1" applyFont="1" applyBorder="1"/>
    <xf numFmtId="164" fontId="1" fillId="0" borderId="23" xfId="0" applyNumberFormat="1" applyFont="1" applyBorder="1"/>
    <xf numFmtId="0" fontId="1" fillId="0" borderId="24" xfId="0" applyFont="1" applyBorder="1"/>
    <xf numFmtId="164" fontId="1" fillId="0" borderId="26" xfId="0" applyNumberFormat="1" applyFont="1" applyBorder="1"/>
    <xf numFmtId="164" fontId="1" fillId="0" borderId="24" xfId="0" applyNumberFormat="1" applyFont="1" applyBorder="1"/>
    <xf numFmtId="0" fontId="1" fillId="0" borderId="30" xfId="0" applyFont="1" applyBorder="1"/>
    <xf numFmtId="164" fontId="1" fillId="0" borderId="31" xfId="0" applyNumberFormat="1" applyFont="1" applyBorder="1"/>
    <xf numFmtId="164" fontId="1" fillId="0" borderId="32" xfId="0" applyNumberFormat="1" applyFont="1" applyBorder="1"/>
    <xf numFmtId="0" fontId="4" fillId="0" borderId="12" xfId="0" applyFont="1" applyBorder="1"/>
    <xf numFmtId="0" fontId="4" fillId="0" borderId="34" xfId="0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0" borderId="33" xfId="0" applyFont="1" applyBorder="1"/>
    <xf numFmtId="0" fontId="1" fillId="0" borderId="35" xfId="0" applyFont="1" applyBorder="1"/>
    <xf numFmtId="0" fontId="3" fillId="0" borderId="30" xfId="0" applyFont="1" applyBorder="1" applyAlignment="1">
      <alignment wrapText="1"/>
    </xf>
    <xf numFmtId="164" fontId="1" fillId="0" borderId="30" xfId="0" applyNumberFormat="1" applyFont="1" applyBorder="1"/>
    <xf numFmtId="0" fontId="4" fillId="0" borderId="36" xfId="0" applyFont="1" applyBorder="1" applyAlignment="1">
      <alignment horizontal="center"/>
    </xf>
    <xf numFmtId="164" fontId="4" fillId="0" borderId="37" xfId="0" applyNumberFormat="1" applyFont="1" applyBorder="1" applyAlignment="1">
      <alignment horizontal="center"/>
    </xf>
    <xf numFmtId="164" fontId="4" fillId="0" borderId="38" xfId="0" applyNumberFormat="1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164" fontId="4" fillId="0" borderId="31" xfId="0" applyNumberFormat="1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164" fontId="4" fillId="0" borderId="40" xfId="0" applyNumberFormat="1" applyFont="1" applyBorder="1" applyAlignment="1">
      <alignment horizontal="center"/>
    </xf>
    <xf numFmtId="164" fontId="4" fillId="0" borderId="41" xfId="0" applyNumberFormat="1" applyFont="1" applyBorder="1" applyAlignment="1">
      <alignment horizontal="center"/>
    </xf>
    <xf numFmtId="164" fontId="4" fillId="0" borderId="42" xfId="0" applyNumberFormat="1" applyFont="1" applyBorder="1"/>
    <xf numFmtId="0" fontId="3" fillId="0" borderId="30" xfId="0" applyFont="1" applyBorder="1"/>
    <xf numFmtId="0" fontId="1" fillId="0" borderId="33" xfId="0" applyFont="1" applyBorder="1" applyAlignment="1">
      <alignment wrapText="1"/>
    </xf>
    <xf numFmtId="164" fontId="4" fillId="0" borderId="29" xfId="0" applyNumberFormat="1" applyFont="1" applyBorder="1" applyAlignment="1">
      <alignment horizontal="center"/>
    </xf>
    <xf numFmtId="164" fontId="4" fillId="0" borderId="43" xfId="0" applyNumberFormat="1" applyFont="1" applyBorder="1" applyAlignment="1">
      <alignment horizontal="center"/>
    </xf>
    <xf numFmtId="164" fontId="1" fillId="0" borderId="44" xfId="0" applyNumberFormat="1" applyFont="1" applyBorder="1"/>
    <xf numFmtId="164" fontId="1" fillId="0" borderId="45" xfId="0" applyNumberFormat="1" applyFont="1" applyBorder="1"/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" fillId="0" borderId="22" xfId="0" applyFont="1" applyBorder="1"/>
    <xf numFmtId="165" fontId="1" fillId="0" borderId="0" xfId="0" applyNumberFormat="1" applyFont="1"/>
    <xf numFmtId="165" fontId="1" fillId="0" borderId="14" xfId="0" applyNumberFormat="1" applyFont="1" applyBorder="1"/>
    <xf numFmtId="165" fontId="1" fillId="0" borderId="8" xfId="0" applyNumberFormat="1" applyFont="1" applyBorder="1"/>
    <xf numFmtId="0" fontId="4" fillId="0" borderId="0" xfId="0" applyFont="1"/>
    <xf numFmtId="165" fontId="4" fillId="0" borderId="0" xfId="0" applyNumberFormat="1" applyFont="1"/>
    <xf numFmtId="0" fontId="4" fillId="2" borderId="19" xfId="0" applyFont="1" applyFill="1" applyBorder="1" applyAlignment="1">
      <alignment horizontal="center"/>
    </xf>
    <xf numFmtId="0" fontId="4" fillId="2" borderId="6" xfId="0" applyFont="1" applyFill="1" applyBorder="1"/>
    <xf numFmtId="0" fontId="4" fillId="0" borderId="46" xfId="0" applyFont="1" applyBorder="1" applyAlignment="1">
      <alignment horizontal="center" wrapText="1"/>
    </xf>
    <xf numFmtId="165" fontId="4" fillId="0" borderId="0" xfId="0" applyNumberFormat="1" applyFont="1" applyAlignment="1">
      <alignment horizontal="center" wrapText="1"/>
    </xf>
    <xf numFmtId="0" fontId="1" fillId="0" borderId="47" xfId="0" applyFont="1" applyBorder="1"/>
    <xf numFmtId="0" fontId="1" fillId="0" borderId="46" xfId="0" applyFont="1" applyBorder="1"/>
    <xf numFmtId="0" fontId="4" fillId="0" borderId="46" xfId="0" applyFont="1" applyBorder="1"/>
    <xf numFmtId="0" fontId="4" fillId="0" borderId="48" xfId="0" applyFont="1" applyBorder="1" applyAlignment="1">
      <alignment horizontal="center" wrapText="1"/>
    </xf>
    <xf numFmtId="165" fontId="4" fillId="0" borderId="38" xfId="0" applyNumberFormat="1" applyFont="1" applyBorder="1" applyAlignment="1">
      <alignment horizontal="center" wrapText="1"/>
    </xf>
    <xf numFmtId="165" fontId="4" fillId="0" borderId="49" xfId="0" applyNumberFormat="1" applyFont="1" applyBorder="1" applyAlignment="1">
      <alignment horizontal="center" wrapText="1"/>
    </xf>
    <xf numFmtId="165" fontId="4" fillId="0" borderId="50" xfId="0" applyNumberFormat="1" applyFont="1" applyBorder="1" applyAlignment="1">
      <alignment horizontal="center" wrapText="1"/>
    </xf>
    <xf numFmtId="165" fontId="1" fillId="0" borderId="51" xfId="0" applyNumberFormat="1" applyFont="1" applyBorder="1"/>
    <xf numFmtId="165" fontId="1" fillId="0" borderId="50" xfId="0" applyNumberFormat="1" applyFont="1" applyBorder="1"/>
    <xf numFmtId="165" fontId="4" fillId="2" borderId="20" xfId="0" applyNumberFormat="1" applyFont="1" applyFill="1" applyBorder="1" applyAlignment="1">
      <alignment horizontal="center"/>
    </xf>
    <xf numFmtId="0" fontId="3" fillId="0" borderId="0" xfId="0" applyFont="1"/>
    <xf numFmtId="0" fontId="6" fillId="0" borderId="0" xfId="0" applyFont="1" applyFill="1"/>
    <xf numFmtId="0" fontId="1" fillId="0" borderId="0" xfId="0" applyFont="1" applyFill="1"/>
    <xf numFmtId="0" fontId="4" fillId="0" borderId="5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1" fillId="0" borderId="6" xfId="0" applyFont="1" applyFill="1" applyBorder="1"/>
    <xf numFmtId="164" fontId="1" fillId="0" borderId="0" xfId="0" applyNumberFormat="1" applyFont="1" applyFill="1"/>
    <xf numFmtId="164" fontId="1" fillId="0" borderId="10" xfId="0" applyNumberFormat="1" applyFont="1" applyFill="1" applyBorder="1"/>
    <xf numFmtId="0" fontId="1" fillId="0" borderId="7" xfId="0" applyFont="1" applyFill="1" applyBorder="1"/>
    <xf numFmtId="164" fontId="1" fillId="0" borderId="8" xfId="0" applyNumberFormat="1" applyFont="1" applyFill="1" applyBorder="1"/>
    <xf numFmtId="164" fontId="1" fillId="0" borderId="11" xfId="0" applyNumberFormat="1" applyFont="1" applyFill="1" applyBorder="1"/>
    <xf numFmtId="164" fontId="1" fillId="0" borderId="16" xfId="0" applyNumberFormat="1" applyFont="1" applyFill="1" applyBorder="1"/>
    <xf numFmtId="164" fontId="4" fillId="0" borderId="0" xfId="0" applyNumberFormat="1" applyFont="1" applyFill="1"/>
    <xf numFmtId="164" fontId="1" fillId="0" borderId="17" xfId="0" applyNumberFormat="1" applyFont="1" applyFill="1" applyBorder="1"/>
    <xf numFmtId="0" fontId="4" fillId="0" borderId="0" xfId="0" applyFont="1" applyFill="1"/>
    <xf numFmtId="164" fontId="1" fillId="0" borderId="18" xfId="0" applyNumberFormat="1" applyFont="1" applyFill="1" applyBorder="1"/>
    <xf numFmtId="0" fontId="7" fillId="0" borderId="0" xfId="0" applyFont="1" applyFill="1"/>
    <xf numFmtId="0" fontId="4" fillId="0" borderId="52" xfId="0" applyFont="1" applyFill="1" applyBorder="1" applyAlignment="1">
      <alignment horizontal="center"/>
    </xf>
    <xf numFmtId="164" fontId="4" fillId="0" borderId="38" xfId="0" applyNumberFormat="1" applyFont="1" applyFill="1" applyBorder="1" applyAlignment="1">
      <alignment horizontal="center"/>
    </xf>
    <xf numFmtId="0" fontId="1" fillId="0" borderId="53" xfId="0" applyFont="1" applyFill="1" applyBorder="1"/>
    <xf numFmtId="164" fontId="1" fillId="0" borderId="0" xfId="0" applyNumberFormat="1" applyFont="1" applyFill="1" applyBorder="1"/>
    <xf numFmtId="0" fontId="1" fillId="0" borderId="54" xfId="0" applyFont="1" applyFill="1" applyBorder="1"/>
    <xf numFmtId="0" fontId="4" fillId="0" borderId="54" xfId="0" applyFont="1" applyFill="1" applyBorder="1"/>
    <xf numFmtId="164" fontId="4" fillId="0" borderId="49" xfId="0" applyNumberFormat="1" applyFont="1" applyFill="1" applyBorder="1" applyAlignment="1">
      <alignment horizontal="center"/>
    </xf>
    <xf numFmtId="164" fontId="1" fillId="0" borderId="50" xfId="0" applyNumberFormat="1" applyFont="1" applyFill="1" applyBorder="1"/>
    <xf numFmtId="164" fontId="1" fillId="0" borderId="51" xfId="0" applyNumberFormat="1" applyFont="1" applyFill="1" applyBorder="1"/>
    <xf numFmtId="164" fontId="1" fillId="0" borderId="48" xfId="0" applyNumberFormat="1" applyFont="1" applyFill="1" applyBorder="1"/>
    <xf numFmtId="164" fontId="1" fillId="0" borderId="38" xfId="0" applyNumberFormat="1" applyFont="1" applyFill="1" applyBorder="1"/>
    <xf numFmtId="164" fontId="1" fillId="0" borderId="49" xfId="0" applyNumberFormat="1" applyFont="1" applyFill="1" applyBorder="1"/>
    <xf numFmtId="164" fontId="1" fillId="0" borderId="46" xfId="0" applyNumberFormat="1" applyFont="1" applyFill="1" applyBorder="1"/>
    <xf numFmtId="164" fontId="1" fillId="0" borderId="47" xfId="0" applyNumberFormat="1" applyFont="1" applyFill="1" applyBorder="1"/>
    <xf numFmtId="164" fontId="6" fillId="2" borderId="0" xfId="0" applyNumberFormat="1" applyFont="1" applyFill="1"/>
    <xf numFmtId="1" fontId="4" fillId="2" borderId="0" xfId="0" applyNumberFormat="1" applyFont="1" applyFill="1"/>
    <xf numFmtId="0" fontId="3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1" fillId="0" borderId="46" xfId="0" applyFont="1" applyFill="1" applyBorder="1"/>
    <xf numFmtId="0" fontId="4" fillId="0" borderId="48" xfId="0" applyFont="1" applyFill="1" applyBorder="1" applyAlignment="1">
      <alignment horizontal="center"/>
    </xf>
    <xf numFmtId="0" fontId="1" fillId="0" borderId="47" xfId="0" applyFont="1" applyFill="1" applyBorder="1"/>
    <xf numFmtId="164" fontId="4" fillId="0" borderId="8" xfId="0" applyNumberFormat="1" applyFont="1" applyFill="1" applyBorder="1" applyAlignment="1">
      <alignment horizontal="center"/>
    </xf>
    <xf numFmtId="164" fontId="4" fillId="0" borderId="11" xfId="0" applyNumberFormat="1" applyFont="1" applyFill="1" applyBorder="1" applyAlignment="1">
      <alignment horizontal="center"/>
    </xf>
    <xf numFmtId="0" fontId="1" fillId="0" borderId="52" xfId="0" applyFont="1" applyFill="1" applyBorder="1"/>
    <xf numFmtId="0" fontId="4" fillId="0" borderId="55" xfId="0" applyFont="1" applyFill="1" applyBorder="1" applyAlignment="1">
      <alignment horizontal="center"/>
    </xf>
    <xf numFmtId="164" fontId="4" fillId="0" borderId="51" xfId="0" applyNumberFormat="1" applyFont="1" applyFill="1" applyBorder="1"/>
    <xf numFmtId="2" fontId="1" fillId="0" borderId="0" xfId="0" applyNumberFormat="1" applyFont="1" applyFill="1" applyBorder="1"/>
    <xf numFmtId="2" fontId="1" fillId="0" borderId="50" xfId="0" applyNumberFormat="1" applyFont="1" applyFill="1" applyBorder="1"/>
    <xf numFmtId="2" fontId="1" fillId="0" borderId="8" xfId="0" applyNumberFormat="1" applyFont="1" applyFill="1" applyBorder="1"/>
    <xf numFmtId="2" fontId="1" fillId="0" borderId="51" xfId="0" applyNumberFormat="1" applyFont="1" applyFill="1" applyBorder="1"/>
    <xf numFmtId="2" fontId="1" fillId="0" borderId="38" xfId="0" applyNumberFormat="1" applyFont="1" applyFill="1" applyBorder="1"/>
    <xf numFmtId="2" fontId="1" fillId="0" borderId="56" xfId="0" applyNumberFormat="1" applyFont="1" applyFill="1" applyBorder="1"/>
    <xf numFmtId="2" fontId="1" fillId="0" borderId="57" xfId="0" applyNumberFormat="1" applyFont="1" applyFill="1" applyBorder="1"/>
    <xf numFmtId="2" fontId="4" fillId="0" borderId="40" xfId="0" applyNumberFormat="1" applyFont="1" applyFill="1" applyBorder="1" applyAlignment="1">
      <alignment horizontal="center"/>
    </xf>
    <xf numFmtId="2" fontId="4" fillId="0" borderId="58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0" fontId="6" fillId="2" borderId="0" xfId="0" applyFont="1" applyFill="1" applyAlignment="1">
      <alignment wrapText="1"/>
    </xf>
    <xf numFmtId="0" fontId="1" fillId="0" borderId="53" xfId="0" applyFont="1" applyFill="1" applyBorder="1" applyAlignment="1">
      <alignment wrapText="1"/>
    </xf>
    <xf numFmtId="0" fontId="1" fillId="0" borderId="0" xfId="0" applyFont="1" applyBorder="1"/>
    <xf numFmtId="0" fontId="4" fillId="0" borderId="48" xfId="0" applyFont="1" applyBorder="1"/>
    <xf numFmtId="0" fontId="4" fillId="0" borderId="38" xfId="0" applyFont="1" applyBorder="1"/>
    <xf numFmtId="0" fontId="1" fillId="0" borderId="8" xfId="0" applyFont="1" applyBorder="1"/>
    <xf numFmtId="0" fontId="4" fillId="0" borderId="49" xfId="0" applyFont="1" applyBorder="1"/>
    <xf numFmtId="164" fontId="1" fillId="0" borderId="0" xfId="0" applyNumberFormat="1" applyFont="1" applyBorder="1"/>
    <xf numFmtId="164" fontId="1" fillId="0" borderId="50" xfId="0" applyNumberFormat="1" applyFont="1" applyBorder="1"/>
    <xf numFmtId="164" fontId="1" fillId="0" borderId="51" xfId="0" applyNumberFormat="1" applyFont="1" applyBorder="1"/>
    <xf numFmtId="166" fontId="1" fillId="0" borderId="0" xfId="0" applyNumberFormat="1" applyFont="1"/>
    <xf numFmtId="166" fontId="1" fillId="0" borderId="8" xfId="0" applyNumberFormat="1" applyFont="1" applyBorder="1"/>
    <xf numFmtId="166" fontId="4" fillId="0" borderId="4" xfId="0" applyNumberFormat="1" applyFont="1" applyBorder="1" applyAlignment="1">
      <alignment horizontal="center"/>
    </xf>
    <xf numFmtId="166" fontId="1" fillId="0" borderId="10" xfId="0" applyNumberFormat="1" applyFont="1" applyBorder="1"/>
    <xf numFmtId="166" fontId="1" fillId="0" borderId="11" xfId="0" applyNumberFormat="1" applyFont="1" applyBorder="1"/>
    <xf numFmtId="166" fontId="4" fillId="0" borderId="9" xfId="0" applyNumberFormat="1" applyFont="1" applyBorder="1" applyAlignment="1">
      <alignment horizontal="center"/>
    </xf>
    <xf numFmtId="164" fontId="4" fillId="0" borderId="59" xfId="0" applyNumberFormat="1" applyFont="1" applyFill="1" applyBorder="1"/>
    <xf numFmtId="164" fontId="1" fillId="0" borderId="60" xfId="0" applyNumberFormat="1" applyFont="1" applyFill="1" applyBorder="1"/>
    <xf numFmtId="164" fontId="1" fillId="0" borderId="61" xfId="0" applyNumberFormat="1" applyFont="1" applyFill="1" applyBorder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327683</xdr:colOff>
      <xdr:row>11</xdr:row>
      <xdr:rowOff>133383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65E667-11B9-4CA5-27D6-371A4EA9A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2000" cy="260449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1</xdr:rowOff>
    </xdr:from>
    <xdr:to>
      <xdr:col>20</xdr:col>
      <xdr:colOff>520700</xdr:colOff>
      <xdr:row>39</xdr:row>
      <xdr:rowOff>138531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12BAC2-96BF-6E91-85DD-82A711F8D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1863" y="4319589"/>
          <a:ext cx="6350000" cy="397710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316330</xdr:rowOff>
    </xdr:from>
    <xdr:to>
      <xdr:col>20</xdr:col>
      <xdr:colOff>520700</xdr:colOff>
      <xdr:row>57</xdr:row>
      <xdr:rowOff>71764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C0777D-E81D-606A-0AF9-F866C7E5A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1863" y="8474493"/>
          <a:ext cx="6350000" cy="365960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58</xdr:row>
      <xdr:rowOff>86559</xdr:rowOff>
    </xdr:from>
    <xdr:to>
      <xdr:col>20</xdr:col>
      <xdr:colOff>520700</xdr:colOff>
      <xdr:row>72</xdr:row>
      <xdr:rowOff>138997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55E5813-C411-9952-1CAA-0F187596D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1863" y="12311897"/>
          <a:ext cx="6350000" cy="258608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73</xdr:row>
      <xdr:rowOff>135824</xdr:rowOff>
    </xdr:from>
    <xdr:to>
      <xdr:col>21</xdr:col>
      <xdr:colOff>127000</xdr:colOff>
      <xdr:row>99</xdr:row>
      <xdr:rowOff>143814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50B8F2-07AA-765A-F75E-31C6DDA47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1863" y="15075787"/>
          <a:ext cx="6604000" cy="471333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100</xdr:row>
      <xdr:rowOff>140637</xdr:rowOff>
    </xdr:from>
    <xdr:to>
      <xdr:col>20</xdr:col>
      <xdr:colOff>520700</xdr:colOff>
      <xdr:row>142</xdr:row>
      <xdr:rowOff>152858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7F4845-CDF4-E2B4-6107-EFC320475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1863" y="19966925"/>
          <a:ext cx="6350000" cy="761317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143</xdr:row>
      <xdr:rowOff>149683</xdr:rowOff>
    </xdr:from>
    <xdr:to>
      <xdr:col>20</xdr:col>
      <xdr:colOff>520700</xdr:colOff>
      <xdr:row>187</xdr:row>
      <xdr:rowOff>132638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CD48A3B-EDE5-3CEB-E7A8-1B921CD95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1863" y="27757896"/>
          <a:ext cx="6350000" cy="79458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1085273</xdr:colOff>
      <xdr:row>8</xdr:row>
      <xdr:rowOff>132131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B0A510-E78F-0DD2-C83A-7098C0281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2000" cy="1933222"/>
        </a:xfrm>
        <a:prstGeom prst="rect">
          <a:avLst/>
        </a:prstGeom>
      </xdr:spPr>
    </xdr:pic>
    <xdr:clientData/>
  </xdr:twoCellAnchor>
  <xdr:twoCellAnchor editAs="oneCell">
    <xdr:from>
      <xdr:col>10</xdr:col>
      <xdr:colOff>647700</xdr:colOff>
      <xdr:row>19</xdr:row>
      <xdr:rowOff>20782</xdr:rowOff>
    </xdr:from>
    <xdr:to>
      <xdr:col>21</xdr:col>
      <xdr:colOff>107949</xdr:colOff>
      <xdr:row>60</xdr:row>
      <xdr:rowOff>91240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06EBA0-6061-554C-41E1-201055193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0" y="4705351"/>
          <a:ext cx="6604000" cy="77683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560916</xdr:colOff>
      <xdr:row>15</xdr:row>
      <xdr:rowOff>182033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845C78-2A35-4F5D-C6A2-3D0BF2797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2000" cy="3674533"/>
        </a:xfrm>
        <a:prstGeom prst="rect">
          <a:avLst/>
        </a:prstGeom>
      </xdr:spPr>
    </xdr:pic>
    <xdr:clientData/>
  </xdr:twoCellAnchor>
  <xdr:twoCellAnchor editAs="oneCell">
    <xdr:from>
      <xdr:col>11</xdr:col>
      <xdr:colOff>6879</xdr:colOff>
      <xdr:row>19</xdr:row>
      <xdr:rowOff>113242</xdr:rowOff>
    </xdr:from>
    <xdr:to>
      <xdr:col>21</xdr:col>
      <xdr:colOff>155046</xdr:colOff>
      <xdr:row>36</xdr:row>
      <xdr:rowOff>69016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426191-BC04-8DAA-1CB0-524236F50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0463" y="5934075"/>
          <a:ext cx="6604000" cy="3310689"/>
        </a:xfrm>
        <a:prstGeom prst="rect">
          <a:avLst/>
        </a:prstGeom>
      </xdr:spPr>
    </xdr:pic>
    <xdr:clientData/>
  </xdr:twoCellAnchor>
  <xdr:twoCellAnchor editAs="oneCell">
    <xdr:from>
      <xdr:col>11</xdr:col>
      <xdr:colOff>6879</xdr:colOff>
      <xdr:row>37</xdr:row>
      <xdr:rowOff>113464</xdr:rowOff>
    </xdr:from>
    <xdr:to>
      <xdr:col>19</xdr:col>
      <xdr:colOff>430212</xdr:colOff>
      <xdr:row>55</xdr:row>
      <xdr:rowOff>134631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1AB8334-2EB4-544C-0D2B-484952184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0463" y="9447964"/>
          <a:ext cx="5588000" cy="3259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859196</xdr:colOff>
      <xdr:row>21</xdr:row>
      <xdr:rowOff>70612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D34808-1D36-3817-08BB-AE6E4AB11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2000" cy="4806156"/>
        </a:xfrm>
        <a:prstGeom prst="rect">
          <a:avLst/>
        </a:prstGeom>
      </xdr:spPr>
    </xdr:pic>
    <xdr:clientData/>
  </xdr:twoCellAnchor>
  <xdr:twoCellAnchor editAs="oneCell">
    <xdr:from>
      <xdr:col>10</xdr:col>
      <xdr:colOff>645004</xdr:colOff>
      <xdr:row>29</xdr:row>
      <xdr:rowOff>66315</xdr:rowOff>
    </xdr:from>
    <xdr:to>
      <xdr:col>21</xdr:col>
      <xdr:colOff>132212</xdr:colOff>
      <xdr:row>51</xdr:row>
      <xdr:rowOff>83630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5A1F39-9791-9FF8-47F9-471DB0B31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6325" y="5934075"/>
          <a:ext cx="6604000" cy="3971089"/>
        </a:xfrm>
        <a:prstGeom prst="rect">
          <a:avLst/>
        </a:prstGeom>
      </xdr:spPr>
    </xdr:pic>
    <xdr:clientData/>
  </xdr:twoCellAnchor>
  <xdr:twoCellAnchor editAs="oneCell">
    <xdr:from>
      <xdr:col>10</xdr:col>
      <xdr:colOff>645004</xdr:colOff>
      <xdr:row>51</xdr:row>
      <xdr:rowOff>286830</xdr:rowOff>
    </xdr:from>
    <xdr:to>
      <xdr:col>19</xdr:col>
      <xdr:colOff>410174</xdr:colOff>
      <xdr:row>68</xdr:row>
      <xdr:rowOff>68972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A8E548E-16CE-FC43-DE06-36D72AE21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6325" y="10108364"/>
          <a:ext cx="5588000" cy="3259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762133</xdr:colOff>
      <xdr:row>17</xdr:row>
      <xdr:rowOff>10120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1A839A-1AA7-4BDD-4CB6-D9CB78841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2000" cy="38963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1</xdr:rowOff>
    </xdr:from>
    <xdr:to>
      <xdr:col>20</xdr:col>
      <xdr:colOff>520699</xdr:colOff>
      <xdr:row>38</xdr:row>
      <xdr:rowOff>49645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E322F0-304F-FC9F-D9BE-F3E4FAC68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625" y="4738689"/>
          <a:ext cx="6350000" cy="238960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21054</xdr:rowOff>
    </xdr:from>
    <xdr:to>
      <xdr:col>19</xdr:col>
      <xdr:colOff>406399</xdr:colOff>
      <xdr:row>56</xdr:row>
      <xdr:rowOff>12678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D1485C-0BD5-C240-6067-12F82D470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625" y="7331492"/>
          <a:ext cx="5588000" cy="3259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166C-D2E7-4395-B82E-FD7EA66B9D75}">
  <dimension ref="A1:L120"/>
  <sheetViews>
    <sheetView zoomScale="53" workbookViewId="0">
      <selection activeCell="I58" sqref="I58"/>
    </sheetView>
  </sheetViews>
  <sheetFormatPr defaultRowHeight="14.25" x14ac:dyDescent="0.45"/>
  <cols>
    <col min="1" max="1" width="36.59765625" style="1" customWidth="1"/>
    <col min="2" max="6" width="14.59765625" style="1" customWidth="1"/>
    <col min="7" max="11" width="16.59765625" style="1" customWidth="1"/>
    <col min="12" max="16384" width="9.06640625" style="1"/>
  </cols>
  <sheetData>
    <row r="1" ht="18" customHeight="1" x14ac:dyDescent="0.45"/>
    <row r="2" ht="18" customHeight="1" x14ac:dyDescent="0.45"/>
    <row r="3" ht="18" customHeight="1" x14ac:dyDescent="0.45"/>
    <row r="4" ht="18" customHeight="1" x14ac:dyDescent="0.45"/>
    <row r="5" ht="18" customHeight="1" x14ac:dyDescent="0.45"/>
    <row r="6" ht="18" customHeight="1" x14ac:dyDescent="0.45"/>
    <row r="7" ht="18" customHeight="1" x14ac:dyDescent="0.45"/>
    <row r="8" ht="18" customHeight="1" x14ac:dyDescent="0.45"/>
    <row r="9" ht="18" customHeight="1" x14ac:dyDescent="0.45"/>
    <row r="10" ht="18" customHeight="1" x14ac:dyDescent="0.45"/>
    <row r="11" ht="18" customHeight="1" x14ac:dyDescent="0.45"/>
    <row r="12" ht="18" customHeight="1" x14ac:dyDescent="0.45"/>
    <row r="17" spans="1:12" ht="21" x14ac:dyDescent="0.65">
      <c r="A17" s="2" t="s">
        <v>0</v>
      </c>
    </row>
    <row r="18" spans="1:12" ht="32" customHeight="1" x14ac:dyDescent="0.55000000000000004">
      <c r="A18" s="3" t="s">
        <v>1</v>
      </c>
      <c r="L18" s="20" t="s">
        <v>13</v>
      </c>
    </row>
    <row r="20" spans="1:12" ht="31.5" x14ac:dyDescent="0.5">
      <c r="A20" s="3" t="s">
        <v>2</v>
      </c>
      <c r="H20" s="5" t="s">
        <v>10</v>
      </c>
      <c r="I20" s="4" t="s">
        <v>11</v>
      </c>
      <c r="J20" s="8" t="s">
        <v>12</v>
      </c>
    </row>
    <row r="21" spans="1:12" x14ac:dyDescent="0.45">
      <c r="A21" s="1" t="s">
        <v>3</v>
      </c>
      <c r="B21" s="9">
        <v>1</v>
      </c>
      <c r="D21" s="1" t="s">
        <v>5</v>
      </c>
      <c r="H21" s="6">
        <v>0</v>
      </c>
      <c r="I21" s="9">
        <f>B21</f>
        <v>1</v>
      </c>
      <c r="J21" s="10"/>
    </row>
    <row r="22" spans="1:12" x14ac:dyDescent="0.45">
      <c r="B22" s="9">
        <v>0</v>
      </c>
      <c r="D22" s="9">
        <f>2*B21</f>
        <v>2</v>
      </c>
      <c r="E22" s="9">
        <f>2*B22</f>
        <v>0</v>
      </c>
      <c r="F22" s="9">
        <v>-1</v>
      </c>
      <c r="H22" s="6"/>
      <c r="I22" s="9">
        <f>B22</f>
        <v>0</v>
      </c>
      <c r="J22" s="10"/>
    </row>
    <row r="23" spans="1:12" x14ac:dyDescent="0.45">
      <c r="B23" s="9">
        <v>0</v>
      </c>
      <c r="D23" s="9">
        <f>2*B21</f>
        <v>2</v>
      </c>
      <c r="E23" s="9">
        <f>2*B22</f>
        <v>0</v>
      </c>
      <c r="F23" s="9">
        <f>2*B23</f>
        <v>0</v>
      </c>
      <c r="H23" s="6"/>
      <c r="I23" s="9">
        <f>B23</f>
        <v>0</v>
      </c>
      <c r="J23" s="10"/>
    </row>
    <row r="24" spans="1:12" x14ac:dyDescent="0.45">
      <c r="A24" s="1" t="s">
        <v>4</v>
      </c>
      <c r="B24" s="9">
        <f>B21^2+B22^2-B23</f>
        <v>1</v>
      </c>
      <c r="D24" s="9">
        <v>0</v>
      </c>
      <c r="E24" s="9">
        <v>3</v>
      </c>
      <c r="F24" s="9">
        <v>1</v>
      </c>
      <c r="H24" s="6">
        <v>1</v>
      </c>
      <c r="I24" s="9">
        <f>B28</f>
        <v>1.5</v>
      </c>
      <c r="J24" s="10">
        <f>MAX(ABS(I24-I21),ABS(I25-I22),ABS(I26-I23))</f>
        <v>2</v>
      </c>
    </row>
    <row r="25" spans="1:12" x14ac:dyDescent="0.45">
      <c r="B25" s="9">
        <f>B21^2+B22^2+B23^2-2</f>
        <v>-1</v>
      </c>
      <c r="D25" s="9"/>
      <c r="E25" s="9"/>
      <c r="F25" s="9"/>
      <c r="H25" s="6"/>
      <c r="I25" s="9">
        <f>B29</f>
        <v>-0.33333333333333331</v>
      </c>
      <c r="J25" s="10"/>
    </row>
    <row r="26" spans="1:12" x14ac:dyDescent="0.45">
      <c r="B26" s="9">
        <f>3*B22+B23-1</f>
        <v>-1</v>
      </c>
      <c r="D26" s="9"/>
      <c r="E26" s="9"/>
      <c r="F26" s="9"/>
      <c r="H26" s="6"/>
      <c r="I26" s="9">
        <f>B30</f>
        <v>2</v>
      </c>
      <c r="J26" s="10"/>
    </row>
    <row r="27" spans="1:12" x14ac:dyDescent="0.45">
      <c r="B27" s="9"/>
      <c r="D27" s="9"/>
      <c r="E27" s="9"/>
      <c r="F27" s="9"/>
      <c r="H27" s="6">
        <v>2</v>
      </c>
      <c r="I27" s="9">
        <f>B36</f>
        <v>1.1722222222222223</v>
      </c>
      <c r="J27" s="10">
        <f>MAX(ABS(I27-I24),ABS(I28-I25),ABS(I29-I26))</f>
        <v>0.8</v>
      </c>
    </row>
    <row r="28" spans="1:12" x14ac:dyDescent="0.45">
      <c r="A28" s="1" t="s">
        <v>6</v>
      </c>
      <c r="B28" s="9">
        <f>B21-INDEX(MMULT(MINVERSE(D22:F24),B24:B26),1,1)</f>
        <v>1.5</v>
      </c>
      <c r="D28" s="9" t="s">
        <v>8</v>
      </c>
      <c r="E28" s="9"/>
      <c r="F28" s="9"/>
      <c r="H28" s="6"/>
      <c r="I28" s="9">
        <f>B37</f>
        <v>-6.6666666666666707E-2</v>
      </c>
      <c r="J28" s="10"/>
    </row>
    <row r="29" spans="1:12" x14ac:dyDescent="0.45">
      <c r="B29" s="9">
        <f>B22-INDEX(MMULT(MINVERSE(D22:F24),B24:B26),2,1)</f>
        <v>-0.33333333333333331</v>
      </c>
      <c r="D29" s="9">
        <f>2*B28</f>
        <v>3</v>
      </c>
      <c r="E29" s="9">
        <f>2*B29</f>
        <v>-0.66666666666666663</v>
      </c>
      <c r="F29" s="9">
        <v>-1</v>
      </c>
      <c r="H29" s="7"/>
      <c r="I29" s="11">
        <f>B38</f>
        <v>1.2</v>
      </c>
      <c r="J29" s="12"/>
    </row>
    <row r="30" spans="1:12" x14ac:dyDescent="0.45">
      <c r="B30" s="9">
        <f>B23-INDEX(MMULT(MINVERSE(D22:F24),B24:B26),3,1)</f>
        <v>2</v>
      </c>
      <c r="D30" s="9">
        <f>2*B28</f>
        <v>3</v>
      </c>
      <c r="E30" s="9">
        <f>2*B29</f>
        <v>-0.66666666666666663</v>
      </c>
      <c r="F30" s="9">
        <f>2*B30</f>
        <v>4</v>
      </c>
    </row>
    <row r="31" spans="1:12" x14ac:dyDescent="0.45">
      <c r="B31" s="9"/>
      <c r="D31" s="9">
        <v>0</v>
      </c>
      <c r="E31" s="9">
        <v>3</v>
      </c>
      <c r="F31" s="9">
        <v>1</v>
      </c>
    </row>
    <row r="32" spans="1:12" x14ac:dyDescent="0.45">
      <c r="A32" s="1" t="s">
        <v>7</v>
      </c>
      <c r="B32" s="9">
        <f>B28^2+B29^2-B30</f>
        <v>0.36111111111111116</v>
      </c>
    </row>
    <row r="33" spans="1:6" x14ac:dyDescent="0.45">
      <c r="B33" s="9">
        <f>B28^2+B29^2+B30^2-2</f>
        <v>4.3611111111111107</v>
      </c>
    </row>
    <row r="34" spans="1:6" x14ac:dyDescent="0.45">
      <c r="B34" s="9">
        <f>3*B29+B30-1</f>
        <v>0</v>
      </c>
    </row>
    <row r="35" spans="1:6" x14ac:dyDescent="0.45">
      <c r="B35" s="9"/>
    </row>
    <row r="36" spans="1:6" x14ac:dyDescent="0.45">
      <c r="A36" s="1" t="s">
        <v>9</v>
      </c>
      <c r="B36" s="9">
        <f>B28-INDEX(MMULT(MINVERSE(D29:F31),B32:B34),1,1)</f>
        <v>1.1722222222222223</v>
      </c>
    </row>
    <row r="37" spans="1:6" x14ac:dyDescent="0.45">
      <c r="B37" s="9">
        <f>B29-INDEX(MMULT(MINVERSE(D29:F31),B32:B34),2,1)</f>
        <v>-6.6666666666666707E-2</v>
      </c>
    </row>
    <row r="38" spans="1:6" x14ac:dyDescent="0.45">
      <c r="B38" s="9">
        <f>B30-INDEX(MMULT(MINVERSE(D29:F31),B32:B34),3,1)</f>
        <v>1.2</v>
      </c>
    </row>
    <row r="40" spans="1:6" ht="31.5" x14ac:dyDescent="0.5">
      <c r="A40" s="3" t="s">
        <v>71</v>
      </c>
    </row>
    <row r="41" spans="1:6" x14ac:dyDescent="0.45">
      <c r="A41" s="14" t="s">
        <v>56</v>
      </c>
      <c r="B41" s="15">
        <f>0-0^2</f>
        <v>0</v>
      </c>
      <c r="C41" s="15">
        <f>SQRT(2-1^2-0^2)</f>
        <v>1</v>
      </c>
      <c r="D41" s="15">
        <f>1-3*0</f>
        <v>1</v>
      </c>
      <c r="E41" s="17" t="s">
        <v>72</v>
      </c>
    </row>
    <row r="42" spans="1:6" x14ac:dyDescent="0.45">
      <c r="A42" s="13"/>
      <c r="B42" s="9"/>
      <c r="C42" s="9"/>
      <c r="D42" s="9"/>
      <c r="E42" s="18"/>
    </row>
    <row r="43" spans="1:6" x14ac:dyDescent="0.45">
      <c r="A43" s="46" t="s">
        <v>58</v>
      </c>
      <c r="B43" s="11"/>
      <c r="C43" s="11"/>
      <c r="D43" s="11"/>
      <c r="E43" s="19"/>
    </row>
    <row r="44" spans="1:6" x14ac:dyDescent="0.45">
      <c r="A44" s="1" t="s">
        <v>59</v>
      </c>
      <c r="B44" s="9"/>
      <c r="C44" s="9"/>
      <c r="D44" s="9"/>
      <c r="E44" s="9"/>
      <c r="F44" s="9"/>
    </row>
    <row r="45" spans="1:6" ht="15.75" x14ac:dyDescent="0.5">
      <c r="A45" s="3" t="s">
        <v>60</v>
      </c>
      <c r="B45" s="9"/>
      <c r="C45" s="9"/>
      <c r="D45" s="9"/>
      <c r="E45" s="9"/>
      <c r="F45" s="9"/>
    </row>
    <row r="46" spans="1:6" ht="15.75" x14ac:dyDescent="0.5">
      <c r="A46" s="33" t="s">
        <v>61</v>
      </c>
      <c r="B46" s="34"/>
      <c r="C46" s="35"/>
      <c r="D46" s="36"/>
      <c r="E46" s="34"/>
      <c r="F46" s="34"/>
    </row>
    <row r="47" spans="1:6" x14ac:dyDescent="0.45">
      <c r="A47" s="37"/>
      <c r="B47" s="38"/>
      <c r="C47" s="9"/>
      <c r="D47" s="39"/>
      <c r="E47" s="38"/>
      <c r="F47" s="38"/>
    </row>
    <row r="48" spans="1:6" x14ac:dyDescent="0.45">
      <c r="A48" s="40" t="s">
        <v>57</v>
      </c>
      <c r="B48" s="41">
        <f>B21</f>
        <v>1</v>
      </c>
      <c r="C48" s="11" t="s">
        <v>62</v>
      </c>
      <c r="D48" s="42">
        <f>B22</f>
        <v>0</v>
      </c>
      <c r="E48" s="41" t="s">
        <v>63</v>
      </c>
      <c r="F48" s="41">
        <f>B23</f>
        <v>0</v>
      </c>
    </row>
    <row r="49" spans="1:8" ht="28.05" customHeight="1" x14ac:dyDescent="0.5">
      <c r="A49" s="51"/>
      <c r="B49" s="44"/>
      <c r="C49" s="9"/>
      <c r="D49" s="52"/>
      <c r="E49" s="19"/>
      <c r="F49" s="9"/>
    </row>
    <row r="50" spans="1:8" x14ac:dyDescent="0.45">
      <c r="A50" s="53"/>
      <c r="B50" s="54" t="s">
        <v>64</v>
      </c>
      <c r="C50" s="55" t="s">
        <v>65</v>
      </c>
      <c r="D50" s="54" t="s">
        <v>66</v>
      </c>
      <c r="E50" s="9"/>
      <c r="F50" s="9"/>
    </row>
    <row r="51" spans="1:8" x14ac:dyDescent="0.45">
      <c r="A51" s="49" t="s">
        <v>67</v>
      </c>
      <c r="B51" s="44">
        <f>-(2-D48^2-F48^2)/B48^2</f>
        <v>-2</v>
      </c>
      <c r="C51" s="9">
        <f>(-2*D48)/B48</f>
        <v>0</v>
      </c>
      <c r="D51" s="44">
        <f>(-2*F48)/B48</f>
        <v>0</v>
      </c>
      <c r="E51" s="9"/>
      <c r="F51" s="9"/>
      <c r="G51" s="9"/>
      <c r="H51" s="9"/>
    </row>
    <row r="52" spans="1:8" x14ac:dyDescent="0.45">
      <c r="A52" s="50" t="s">
        <v>68</v>
      </c>
      <c r="B52" s="45">
        <f>0</f>
        <v>0</v>
      </c>
      <c r="C52" s="9">
        <f>0</f>
        <v>0</v>
      </c>
      <c r="D52" s="44">
        <f>-1/3</f>
        <v>-0.33333333333333331</v>
      </c>
      <c r="E52" s="9"/>
      <c r="F52" s="9"/>
      <c r="G52" s="9"/>
      <c r="H52" s="9"/>
    </row>
    <row r="53" spans="1:8" x14ac:dyDescent="0.45">
      <c r="A53" s="49" t="s">
        <v>69</v>
      </c>
      <c r="B53" s="9">
        <f>2*B48</f>
        <v>2</v>
      </c>
      <c r="C53" s="9">
        <f>2*D48</f>
        <v>0</v>
      </c>
      <c r="D53" s="44">
        <f>0</f>
        <v>0</v>
      </c>
      <c r="E53" s="9"/>
      <c r="F53" s="9"/>
      <c r="G53" s="9"/>
      <c r="H53" s="9"/>
    </row>
    <row r="54" spans="1:8" x14ac:dyDescent="0.45">
      <c r="A54" s="58" t="s">
        <v>37</v>
      </c>
      <c r="B54" s="59">
        <f>ABS(B51)+ABS(B52)+ABS(B53)</f>
        <v>4</v>
      </c>
      <c r="C54" s="60">
        <f>ABS(C51)+ABS(C52)+ABS(C53)</f>
        <v>0</v>
      </c>
      <c r="D54" s="61">
        <f>ABS(D51)+ABS(D52)+ABS(D53)</f>
        <v>0.33333333333333331</v>
      </c>
      <c r="E54" s="9"/>
      <c r="F54" s="9"/>
      <c r="G54" s="9"/>
      <c r="H54" s="9"/>
    </row>
    <row r="55" spans="1:8" x14ac:dyDescent="0.45">
      <c r="A55" s="56"/>
      <c r="B55" s="48"/>
      <c r="C55" s="57"/>
      <c r="D55" s="9"/>
      <c r="E55" s="9"/>
      <c r="F55" s="9"/>
      <c r="G55" s="9"/>
      <c r="H55" s="9"/>
    </row>
    <row r="56" spans="1:8" ht="15.75" x14ac:dyDescent="0.5">
      <c r="A56" s="62" t="s">
        <v>70</v>
      </c>
      <c r="B56" s="9"/>
      <c r="C56" s="44"/>
      <c r="D56" s="9"/>
      <c r="E56" s="9"/>
      <c r="F56" s="9"/>
      <c r="G56" s="9"/>
      <c r="H56" s="9"/>
    </row>
    <row r="57" spans="1:8" x14ac:dyDescent="0.45">
      <c r="A57" s="43"/>
      <c r="B57" s="9"/>
      <c r="C57" s="44"/>
      <c r="D57" s="9"/>
      <c r="E57" s="9"/>
      <c r="F57" s="9"/>
      <c r="G57" s="9"/>
      <c r="H57" s="9"/>
    </row>
    <row r="58" spans="1:8" x14ac:dyDescent="0.45">
      <c r="A58" s="47" t="s">
        <v>10</v>
      </c>
      <c r="B58" s="64" t="s">
        <v>11</v>
      </c>
      <c r="C58" s="65" t="s">
        <v>12</v>
      </c>
    </row>
    <row r="59" spans="1:8" x14ac:dyDescent="0.45">
      <c r="A59" s="63">
        <v>0</v>
      </c>
      <c r="B59" s="9">
        <f>B48</f>
        <v>1</v>
      </c>
      <c r="C59" s="66"/>
    </row>
    <row r="60" spans="1:8" x14ac:dyDescent="0.45">
      <c r="A60" s="49"/>
      <c r="B60" s="9">
        <f>D48</f>
        <v>0</v>
      </c>
      <c r="C60" s="66"/>
    </row>
    <row r="61" spans="1:8" x14ac:dyDescent="0.45">
      <c r="A61" s="49"/>
      <c r="B61" s="9">
        <f>F48</f>
        <v>0</v>
      </c>
      <c r="C61" s="66"/>
    </row>
    <row r="62" spans="1:8" x14ac:dyDescent="0.45">
      <c r="A62" s="49">
        <v>1</v>
      </c>
      <c r="B62" s="9">
        <f>(2-B60^2-B61^2)/B59</f>
        <v>2</v>
      </c>
      <c r="C62" s="66">
        <f>MAX(ABS(B62-B59),ABS(B63-B60),ABS(B64-B61))</f>
        <v>1</v>
      </c>
    </row>
    <row r="63" spans="1:8" x14ac:dyDescent="0.45">
      <c r="A63" s="50"/>
      <c r="B63" s="11">
        <f>(1-B61)/3</f>
        <v>0.33333333333333331</v>
      </c>
      <c r="C63" s="67"/>
    </row>
    <row r="64" spans="1:8" x14ac:dyDescent="0.45">
      <c r="A64" s="50"/>
      <c r="B64" s="11">
        <f>B59^2+B60^2</f>
        <v>1</v>
      </c>
      <c r="C64" s="67"/>
    </row>
    <row r="65" spans="1:8" x14ac:dyDescent="0.45">
      <c r="A65" s="49">
        <v>2</v>
      </c>
      <c r="B65" s="9">
        <f>(2-B63^2-B64^2)/B62</f>
        <v>0.44444444444444442</v>
      </c>
      <c r="C65" s="66">
        <f>MAX(ABS(B65-B62),ABS(B66-B63),ABS(B67-B64))</f>
        <v>3.1111111111111107</v>
      </c>
    </row>
    <row r="66" spans="1:8" x14ac:dyDescent="0.45">
      <c r="A66" s="49"/>
      <c r="B66" s="9">
        <f>(1-B64)/3</f>
        <v>0</v>
      </c>
      <c r="C66" s="66"/>
    </row>
    <row r="67" spans="1:8" x14ac:dyDescent="0.45">
      <c r="A67" s="50"/>
      <c r="B67" s="11">
        <f>B62^2+B63^2</f>
        <v>4.1111111111111107</v>
      </c>
      <c r="C67" s="67"/>
    </row>
    <row r="69" spans="1:8" x14ac:dyDescent="0.45">
      <c r="A69" s="74" t="s">
        <v>106</v>
      </c>
    </row>
    <row r="70" spans="1:8" x14ac:dyDescent="0.45">
      <c r="B70" s="147" t="s">
        <v>50</v>
      </c>
      <c r="C70" s="148" t="s">
        <v>51</v>
      </c>
      <c r="D70" s="148" t="s">
        <v>107</v>
      </c>
      <c r="E70" s="148" t="s">
        <v>108</v>
      </c>
      <c r="F70" s="148" t="s">
        <v>109</v>
      </c>
      <c r="G70" s="150" t="s">
        <v>110</v>
      </c>
    </row>
    <row r="71" spans="1:8" x14ac:dyDescent="0.45">
      <c r="B71" s="81">
        <v>1</v>
      </c>
      <c r="C71" s="146">
        <v>0</v>
      </c>
      <c r="D71" s="146">
        <v>0</v>
      </c>
      <c r="E71" s="151">
        <f>B71^2+C71^2-D71</f>
        <v>1</v>
      </c>
      <c r="F71" s="151">
        <f>B71^2+C71^2+D71^2-2</f>
        <v>-1</v>
      </c>
      <c r="G71" s="152">
        <f>3*C71+D71-1</f>
        <v>-1</v>
      </c>
    </row>
    <row r="72" spans="1:8" x14ac:dyDescent="0.45">
      <c r="B72" s="81">
        <v>-1</v>
      </c>
      <c r="C72" s="146">
        <v>0</v>
      </c>
      <c r="D72" s="146">
        <v>0</v>
      </c>
      <c r="E72" s="151">
        <f>B72^2+C72^2-D72</f>
        <v>1</v>
      </c>
      <c r="F72" s="151">
        <f>B72^2+C72^2+D72^2-2</f>
        <v>-1</v>
      </c>
      <c r="G72" s="152">
        <f>3*C72+D72-1</f>
        <v>-1</v>
      </c>
    </row>
    <row r="73" spans="1:8" x14ac:dyDescent="0.45">
      <c r="B73" s="81">
        <v>1</v>
      </c>
      <c r="C73" s="146">
        <v>0</v>
      </c>
      <c r="D73" s="146">
        <v>1</v>
      </c>
      <c r="E73" s="151">
        <f>B73^2+C73^2-D73</f>
        <v>0</v>
      </c>
      <c r="F73" s="151">
        <f>B73^2+C73^2+D73^2-2</f>
        <v>0</v>
      </c>
      <c r="G73" s="152">
        <f>3*C73+D73-1</f>
        <v>0</v>
      </c>
    </row>
    <row r="74" spans="1:8" x14ac:dyDescent="0.45">
      <c r="B74" s="80">
        <v>-1</v>
      </c>
      <c r="C74" s="149">
        <v>0</v>
      </c>
      <c r="D74" s="149">
        <v>1</v>
      </c>
      <c r="E74" s="11">
        <f>B74^2+C74^2-D74</f>
        <v>0</v>
      </c>
      <c r="F74" s="11">
        <f>B74^2+C74^2+D74^2-2</f>
        <v>0</v>
      </c>
      <c r="G74" s="153">
        <f>3*C74+D74-1</f>
        <v>0</v>
      </c>
    </row>
    <row r="75" spans="1:8" x14ac:dyDescent="0.45">
      <c r="A75" s="1" t="s">
        <v>111</v>
      </c>
    </row>
    <row r="77" spans="1:8" x14ac:dyDescent="0.45">
      <c r="A77" s="74" t="s">
        <v>112</v>
      </c>
    </row>
    <row r="79" spans="1:8" x14ac:dyDescent="0.45">
      <c r="A79" s="74" t="s">
        <v>113</v>
      </c>
    </row>
    <row r="80" spans="1:8" x14ac:dyDescent="0.45">
      <c r="A80" s="1" t="s">
        <v>3</v>
      </c>
      <c r="B80" s="9">
        <v>1</v>
      </c>
      <c r="C80" s="9"/>
      <c r="D80" s="9">
        <f>2*B80</f>
        <v>2</v>
      </c>
      <c r="E80" s="9">
        <f>2*B81</f>
        <v>2</v>
      </c>
      <c r="F80" s="9">
        <v>-1</v>
      </c>
      <c r="H80" s="9">
        <f>B80^2+B81^2-B82</f>
        <v>2</v>
      </c>
    </row>
    <row r="81" spans="1:8" x14ac:dyDescent="0.45">
      <c r="B81" s="9">
        <v>1</v>
      </c>
      <c r="C81" s="9"/>
      <c r="D81" s="9">
        <f>2*B80</f>
        <v>2</v>
      </c>
      <c r="E81" s="9">
        <f>2*B81</f>
        <v>2</v>
      </c>
      <c r="F81" s="9">
        <f>2*B82</f>
        <v>0</v>
      </c>
      <c r="H81" s="9">
        <f>B80^2+B81^2+B82^2-2</f>
        <v>0</v>
      </c>
    </row>
    <row r="82" spans="1:8" x14ac:dyDescent="0.45">
      <c r="B82" s="9">
        <v>0</v>
      </c>
      <c r="C82" s="9"/>
      <c r="D82" s="9">
        <v>0</v>
      </c>
      <c r="E82" s="9">
        <v>3</v>
      </c>
      <c r="F82" s="9">
        <v>1</v>
      </c>
      <c r="H82" s="9">
        <f>3*B81+B82-1</f>
        <v>2</v>
      </c>
    </row>
    <row r="83" spans="1:8" x14ac:dyDescent="0.45">
      <c r="B83" s="9"/>
      <c r="C83" s="9"/>
      <c r="D83" s="9"/>
      <c r="E83" s="9"/>
      <c r="F83" s="9"/>
      <c r="H83" s="9"/>
    </row>
    <row r="84" spans="1:8" x14ac:dyDescent="0.45">
      <c r="A84" s="1" t="s">
        <v>6</v>
      </c>
      <c r="B84" s="9">
        <f>B80-INDEX(MMULT(MINVERSE(D80:F82),H80:H82),1,1)</f>
        <v>2.333333333333333</v>
      </c>
      <c r="C84" s="9">
        <f>MAX(ABS(B84-B80),ABS(B85-B81),ABS(B86-B82))</f>
        <v>2</v>
      </c>
      <c r="D84" s="9">
        <f>2*B84</f>
        <v>4.6666666666666661</v>
      </c>
      <c r="E84" s="9">
        <f>2*B85</f>
        <v>-0.66666666666666652</v>
      </c>
      <c r="F84" s="9">
        <v>-1</v>
      </c>
      <c r="H84" s="9">
        <f>B84^2+B85^2-B86</f>
        <v>3.5555555555555536</v>
      </c>
    </row>
    <row r="85" spans="1:8" x14ac:dyDescent="0.45">
      <c r="B85" s="9">
        <f>B81-INDEX(MMULT(MINVERSE(D80:F82),H80:H82),2,1)</f>
        <v>-0.33333333333333326</v>
      </c>
      <c r="C85" s="9"/>
      <c r="D85" s="9">
        <f>2*B84</f>
        <v>4.6666666666666661</v>
      </c>
      <c r="E85" s="9">
        <f>2*B85</f>
        <v>-0.66666666666666652</v>
      </c>
      <c r="F85" s="9">
        <f>2*B86</f>
        <v>4</v>
      </c>
      <c r="H85" s="9">
        <f>B84^2+B85^2+B86^2-2</f>
        <v>7.5555555555555536</v>
      </c>
    </row>
    <row r="86" spans="1:8" x14ac:dyDescent="0.45">
      <c r="B86" s="9">
        <f>B82-INDEX(MMULT(MINVERSE(D80:F82),H80:H82),3,1)</f>
        <v>2</v>
      </c>
      <c r="C86" s="9"/>
      <c r="D86" s="9">
        <v>0</v>
      </c>
      <c r="E86" s="9">
        <v>3</v>
      </c>
      <c r="F86" s="9">
        <v>1</v>
      </c>
      <c r="H86" s="9">
        <f>3*B85+B86-1</f>
        <v>0</v>
      </c>
    </row>
    <row r="87" spans="1:8" x14ac:dyDescent="0.45">
      <c r="B87" s="9"/>
      <c r="C87" s="9"/>
    </row>
    <row r="88" spans="1:8" x14ac:dyDescent="0.45">
      <c r="A88" s="1" t="s">
        <v>9</v>
      </c>
      <c r="B88" s="9">
        <f>B84-INDEX(MMULT(MINVERSE(D84:F86),H84:H86),1,1)</f>
        <v>1.4380952380952379</v>
      </c>
      <c r="C88" s="9">
        <f>MAX(ABS(B88-B84),ABS(B89-B85),ABS(B90-B86))</f>
        <v>0.89523809523809517</v>
      </c>
    </row>
    <row r="89" spans="1:8" x14ac:dyDescent="0.45">
      <c r="B89" s="9">
        <f>B85-INDEX(MMULT(MINVERSE(D84:F86),H84:H86),2,1)</f>
        <v>-6.6666666666666652E-2</v>
      </c>
      <c r="C89" s="9"/>
    </row>
    <row r="90" spans="1:8" x14ac:dyDescent="0.45">
      <c r="B90" s="9">
        <f>B86-INDEX(MMULT(MINVERSE(D84:F86),H84:H86),3,1)</f>
        <v>1.2</v>
      </c>
      <c r="C90" s="9"/>
    </row>
    <row r="93" spans="1:8" x14ac:dyDescent="0.45">
      <c r="A93" s="74" t="s">
        <v>114</v>
      </c>
    </row>
    <row r="94" spans="1:8" x14ac:dyDescent="0.45">
      <c r="A94" s="1" t="s">
        <v>3</v>
      </c>
      <c r="B94" s="9">
        <v>2</v>
      </c>
      <c r="C94" s="9"/>
      <c r="D94" s="9">
        <f>2*B94</f>
        <v>4</v>
      </c>
      <c r="E94" s="9">
        <f>2*B95</f>
        <v>0</v>
      </c>
      <c r="F94" s="9">
        <v>-1</v>
      </c>
      <c r="H94" s="9">
        <f>B94^2+B95^2-B96</f>
        <v>4</v>
      </c>
    </row>
    <row r="95" spans="1:8" x14ac:dyDescent="0.45">
      <c r="B95" s="9">
        <v>0</v>
      </c>
      <c r="C95" s="9"/>
      <c r="D95" s="9">
        <f>2*B94</f>
        <v>4</v>
      </c>
      <c r="E95" s="9">
        <f>2*B95</f>
        <v>0</v>
      </c>
      <c r="F95" s="9">
        <f>2*B96</f>
        <v>0</v>
      </c>
      <c r="H95" s="9">
        <f>B94^2+B95^2+B96^2-2</f>
        <v>2</v>
      </c>
    </row>
    <row r="96" spans="1:8" x14ac:dyDescent="0.45">
      <c r="B96" s="9">
        <v>0</v>
      </c>
      <c r="C96" s="9"/>
      <c r="D96" s="9">
        <v>0</v>
      </c>
      <c r="E96" s="9">
        <v>3</v>
      </c>
      <c r="F96" s="9">
        <v>1</v>
      </c>
      <c r="H96" s="9">
        <f>3*B95+B96-1</f>
        <v>-1</v>
      </c>
    </row>
    <row r="97" spans="1:8" x14ac:dyDescent="0.45">
      <c r="B97" s="9"/>
      <c r="C97" s="9"/>
      <c r="D97" s="9"/>
      <c r="E97" s="9"/>
      <c r="F97" s="9"/>
      <c r="H97" s="9"/>
    </row>
    <row r="98" spans="1:8" x14ac:dyDescent="0.45">
      <c r="A98" s="1" t="s">
        <v>6</v>
      </c>
      <c r="B98" s="9">
        <f>B94-INDEX(MMULT(MINVERSE(D94:F96),H94:H96),1,1)</f>
        <v>1.5</v>
      </c>
      <c r="C98" s="9">
        <f>MAX(ABS(B98-B94),ABS(B99-B95),ABS(B100-B96))</f>
        <v>2</v>
      </c>
      <c r="D98" s="9">
        <f>2*B98</f>
        <v>3</v>
      </c>
      <c r="E98" s="9">
        <f>2*B99</f>
        <v>-0.66666666666666663</v>
      </c>
      <c r="F98" s="9">
        <v>-1</v>
      </c>
      <c r="H98" s="9">
        <f>B98^2+B99^2-B100</f>
        <v>0.36111111111111116</v>
      </c>
    </row>
    <row r="99" spans="1:8" x14ac:dyDescent="0.45">
      <c r="B99" s="9">
        <f>B95-INDEX(MMULT(MINVERSE(D94:F96),H94:H96),2,1)</f>
        <v>-0.33333333333333331</v>
      </c>
      <c r="C99" s="9"/>
      <c r="D99" s="9">
        <f>2*B98</f>
        <v>3</v>
      </c>
      <c r="E99" s="9">
        <f>2*B99</f>
        <v>-0.66666666666666663</v>
      </c>
      <c r="F99" s="9">
        <f>2*B100</f>
        <v>4</v>
      </c>
      <c r="H99" s="9">
        <f>B98^2+B99^2+B100^2-2</f>
        <v>4.3611111111111107</v>
      </c>
    </row>
    <row r="100" spans="1:8" x14ac:dyDescent="0.45">
      <c r="B100" s="9">
        <f>B96-INDEX(MMULT(MINVERSE(D94:F96),H94:H96),3,1)</f>
        <v>2</v>
      </c>
      <c r="C100" s="9"/>
      <c r="D100" s="9">
        <v>0</v>
      </c>
      <c r="E100" s="9">
        <v>3</v>
      </c>
      <c r="F100" s="9">
        <v>1</v>
      </c>
      <c r="H100" s="9">
        <f>3*B99+B100-1</f>
        <v>0</v>
      </c>
    </row>
    <row r="101" spans="1:8" x14ac:dyDescent="0.45">
      <c r="B101" s="9"/>
      <c r="C101" s="9"/>
    </row>
    <row r="102" spans="1:8" x14ac:dyDescent="0.45">
      <c r="A102" s="1" t="s">
        <v>9</v>
      </c>
      <c r="B102" s="9">
        <f>B98-INDEX(MMULT(MINVERSE(D98:F100),H98:H100),1,1)</f>
        <v>1.1722222222222223</v>
      </c>
      <c r="C102" s="9">
        <f>MAX(ABS(B102-B98),ABS(B103-B99),ABS(B104-B100))</f>
        <v>0.8</v>
      </c>
    </row>
    <row r="103" spans="1:8" x14ac:dyDescent="0.45">
      <c r="B103" s="9">
        <f>B99-INDEX(MMULT(MINVERSE(D98:F100),H98:H100),2,1)</f>
        <v>-6.6666666666666707E-2</v>
      </c>
      <c r="C103" s="9"/>
    </row>
    <row r="104" spans="1:8" x14ac:dyDescent="0.45">
      <c r="B104" s="9">
        <f>B100-INDEX(MMULT(MINVERSE(D98:F100),H98:H100),3,1)</f>
        <v>1.2</v>
      </c>
      <c r="C104" s="9"/>
    </row>
    <row r="107" spans="1:8" x14ac:dyDescent="0.45">
      <c r="A107" s="74" t="s">
        <v>115</v>
      </c>
    </row>
    <row r="108" spans="1:8" x14ac:dyDescent="0.45">
      <c r="A108" s="1" t="s">
        <v>3</v>
      </c>
      <c r="B108" s="9">
        <v>-1</v>
      </c>
      <c r="C108" s="9"/>
      <c r="D108" s="9">
        <f>2*B108</f>
        <v>-2</v>
      </c>
      <c r="E108" s="9">
        <f>2*B109</f>
        <v>0</v>
      </c>
      <c r="F108" s="9">
        <v>-1</v>
      </c>
      <c r="H108" s="9">
        <f>B108^2+B109^2-B110</f>
        <v>1</v>
      </c>
    </row>
    <row r="109" spans="1:8" x14ac:dyDescent="0.45">
      <c r="B109" s="9">
        <v>0</v>
      </c>
      <c r="C109" s="9"/>
      <c r="D109" s="9">
        <f>2*B108</f>
        <v>-2</v>
      </c>
      <c r="E109" s="9">
        <f>2*B109</f>
        <v>0</v>
      </c>
      <c r="F109" s="9">
        <f>2*B110</f>
        <v>0</v>
      </c>
      <c r="H109" s="9">
        <f>B108^2+B109^2+B110^2-2</f>
        <v>-1</v>
      </c>
    </row>
    <row r="110" spans="1:8" x14ac:dyDescent="0.45">
      <c r="B110" s="9">
        <v>0</v>
      </c>
      <c r="C110" s="9"/>
      <c r="D110" s="9">
        <v>0</v>
      </c>
      <c r="E110" s="9">
        <v>3</v>
      </c>
      <c r="F110" s="9">
        <v>1</v>
      </c>
      <c r="H110" s="9">
        <f>3*B109+B110-1</f>
        <v>-1</v>
      </c>
    </row>
    <row r="111" spans="1:8" x14ac:dyDescent="0.45">
      <c r="B111" s="9"/>
      <c r="C111" s="9"/>
      <c r="D111" s="9"/>
      <c r="E111" s="9"/>
      <c r="F111" s="9"/>
      <c r="H111" s="9"/>
    </row>
    <row r="112" spans="1:8" x14ac:dyDescent="0.45">
      <c r="A112" s="1" t="s">
        <v>6</v>
      </c>
      <c r="B112" s="9">
        <f>B108-INDEX(MMULT(MINVERSE(D108:F110),H108:H110),1,1)</f>
        <v>-1.5</v>
      </c>
      <c r="C112" s="9">
        <f>MAX(ABS(B112-B108),ABS(B113-B109),ABS(B114-B110))</f>
        <v>2</v>
      </c>
      <c r="D112" s="9">
        <f>2*B112</f>
        <v>-3</v>
      </c>
      <c r="E112" s="9">
        <f>2*B113</f>
        <v>-0.66666666666666663</v>
      </c>
      <c r="F112" s="9">
        <v>-1</v>
      </c>
      <c r="H112" s="9">
        <f>B112^2+B113^2-B114</f>
        <v>0.36111111111111116</v>
      </c>
    </row>
    <row r="113" spans="1:8" x14ac:dyDescent="0.45">
      <c r="B113" s="9">
        <f>B109-INDEX(MMULT(MINVERSE(D108:F110),H108:H110),2,1)</f>
        <v>-0.33333333333333331</v>
      </c>
      <c r="C113" s="9"/>
      <c r="D113" s="9">
        <f>2*B112</f>
        <v>-3</v>
      </c>
      <c r="E113" s="9">
        <f>2*B113</f>
        <v>-0.66666666666666663</v>
      </c>
      <c r="F113" s="9">
        <f>2*B114</f>
        <v>4</v>
      </c>
      <c r="H113" s="9">
        <f>B112^2+B113^2+B114^2-2</f>
        <v>4.3611111111111107</v>
      </c>
    </row>
    <row r="114" spans="1:8" x14ac:dyDescent="0.45">
      <c r="B114" s="9">
        <f>B110-INDEX(MMULT(MINVERSE(D108:F110),H108:H110),3,1)</f>
        <v>2</v>
      </c>
      <c r="C114" s="9"/>
      <c r="D114" s="9">
        <v>0</v>
      </c>
      <c r="E114" s="9">
        <v>3</v>
      </c>
      <c r="F114" s="9">
        <v>1</v>
      </c>
      <c r="H114" s="9">
        <f>3*B113+B114-1</f>
        <v>0</v>
      </c>
    </row>
    <row r="115" spans="1:8" x14ac:dyDescent="0.45">
      <c r="B115" s="9"/>
      <c r="C115" s="9"/>
    </row>
    <row r="116" spans="1:8" x14ac:dyDescent="0.45">
      <c r="A116" s="1" t="s">
        <v>9</v>
      </c>
      <c r="B116" s="9">
        <f>B112-INDEX(MMULT(MINVERSE(D112:F114),H112:H114),1,1)</f>
        <v>-1.1722222222222223</v>
      </c>
      <c r="C116" s="9">
        <f>MAX(ABS(B116-B112),ABS(B117-B113),ABS(B118-B114))</f>
        <v>0.8</v>
      </c>
    </row>
    <row r="117" spans="1:8" x14ac:dyDescent="0.45">
      <c r="B117" s="9">
        <f>B113-INDEX(MMULT(MINVERSE(D112:F114),H112:H114),2,1)</f>
        <v>-6.6666666666666707E-2</v>
      </c>
      <c r="C117" s="9"/>
    </row>
    <row r="118" spans="1:8" x14ac:dyDescent="0.45">
      <c r="B118" s="9">
        <f>B114-INDEX(MMULT(MINVERSE(D112:F114),H112:H114),3,1)</f>
        <v>1.2</v>
      </c>
      <c r="C118" s="9"/>
    </row>
    <row r="120" spans="1:8" x14ac:dyDescent="0.45">
      <c r="A120" s="1" t="s">
        <v>116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337C-F28D-4F78-B829-2A015902E564}">
  <dimension ref="A1:L59"/>
  <sheetViews>
    <sheetView zoomScale="55" workbookViewId="0">
      <selection activeCell="K19" sqref="K19"/>
    </sheetView>
  </sheetViews>
  <sheetFormatPr defaultRowHeight="14.25" x14ac:dyDescent="0.45"/>
  <cols>
    <col min="1" max="1" width="34.59765625" style="1" customWidth="1"/>
    <col min="2" max="10" width="16.59765625" style="1" customWidth="1"/>
    <col min="11" max="16384" width="9.06640625" style="1"/>
  </cols>
  <sheetData>
    <row r="1" spans="2:7" ht="18" customHeight="1" x14ac:dyDescent="0.45"/>
    <row r="2" spans="2:7" ht="18" customHeight="1" x14ac:dyDescent="0.45"/>
    <row r="3" spans="2:7" ht="18" customHeight="1" x14ac:dyDescent="0.45"/>
    <row r="4" spans="2:7" ht="18" customHeight="1" x14ac:dyDescent="0.45"/>
    <row r="5" spans="2:7" ht="18" customHeight="1" x14ac:dyDescent="0.45"/>
    <row r="6" spans="2:7" ht="18" customHeight="1" x14ac:dyDescent="0.45"/>
    <row r="7" spans="2:7" ht="18" customHeight="1" x14ac:dyDescent="0.45"/>
    <row r="8" spans="2:7" ht="18" customHeight="1" x14ac:dyDescent="0.45"/>
    <row r="9" spans="2:7" ht="18" customHeight="1" x14ac:dyDescent="0.45"/>
    <row r="13" spans="2:7" x14ac:dyDescent="0.45">
      <c r="B13" s="9"/>
      <c r="C13" s="9"/>
      <c r="D13" s="9"/>
      <c r="G13" s="9"/>
    </row>
    <row r="14" spans="2:7" x14ac:dyDescent="0.45">
      <c r="B14" s="9"/>
      <c r="C14" s="9"/>
      <c r="D14" s="9"/>
      <c r="G14" s="9"/>
    </row>
    <row r="15" spans="2:7" x14ac:dyDescent="0.45">
      <c r="B15" s="9"/>
      <c r="C15" s="9"/>
      <c r="D15" s="9"/>
      <c r="G15" s="9"/>
    </row>
    <row r="16" spans="2:7" x14ac:dyDescent="0.45">
      <c r="B16" s="9"/>
      <c r="C16" s="9"/>
      <c r="D16" s="9"/>
    </row>
    <row r="17" spans="1:12" ht="21" x14ac:dyDescent="0.65">
      <c r="A17" s="2" t="s">
        <v>14</v>
      </c>
      <c r="B17" s="9"/>
      <c r="C17" s="9"/>
      <c r="D17" s="9"/>
    </row>
    <row r="18" spans="1:12" ht="72" x14ac:dyDescent="0.55000000000000004">
      <c r="A18" s="3" t="s">
        <v>15</v>
      </c>
      <c r="B18" s="9"/>
      <c r="C18" s="9"/>
      <c r="D18" s="9"/>
      <c r="E18" s="20" t="s">
        <v>13</v>
      </c>
      <c r="L18" s="30" t="s">
        <v>13</v>
      </c>
    </row>
    <row r="19" spans="1:12" ht="15.75" x14ac:dyDescent="0.5">
      <c r="A19" s="3" t="s">
        <v>16</v>
      </c>
      <c r="B19" s="9"/>
      <c r="C19" s="9"/>
      <c r="D19" s="9"/>
    </row>
    <row r="20" spans="1:12" ht="15.75" x14ac:dyDescent="0.5">
      <c r="A20" s="3" t="s">
        <v>17</v>
      </c>
      <c r="B20" s="9"/>
      <c r="C20" s="9"/>
      <c r="D20" s="9"/>
    </row>
    <row r="21" spans="1:12" ht="15.75" x14ac:dyDescent="0.5">
      <c r="A21" s="3" t="s">
        <v>18</v>
      </c>
      <c r="B21" s="9"/>
      <c r="C21" s="9"/>
      <c r="D21" s="9"/>
    </row>
    <row r="22" spans="1:12" x14ac:dyDescent="0.45">
      <c r="B22" s="9"/>
      <c r="C22" s="9"/>
      <c r="D22" s="9"/>
    </row>
    <row r="23" spans="1:12" x14ac:dyDescent="0.45">
      <c r="A23" s="14" t="s">
        <v>19</v>
      </c>
      <c r="B23" s="15">
        <f>ABS(-3)</f>
        <v>3</v>
      </c>
      <c r="C23" s="15">
        <f>ABS(-1)</f>
        <v>1</v>
      </c>
      <c r="D23" s="17" t="b">
        <f>B23&gt;C23</f>
        <v>1</v>
      </c>
    </row>
    <row r="24" spans="1:12" x14ac:dyDescent="0.45">
      <c r="A24" s="13" t="s">
        <v>20</v>
      </c>
      <c r="B24" s="9">
        <f>ABS(4)</f>
        <v>4</v>
      </c>
      <c r="C24" s="9">
        <f>ABS(-1)+ABS(-2)</f>
        <v>3</v>
      </c>
      <c r="D24" s="18" t="b">
        <f>B24&gt;C24</f>
        <v>1</v>
      </c>
    </row>
    <row r="25" spans="1:12" x14ac:dyDescent="0.45">
      <c r="A25" s="16" t="s">
        <v>21</v>
      </c>
      <c r="B25" s="11">
        <f>ABS(2)</f>
        <v>2</v>
      </c>
      <c r="C25" s="11">
        <f>ABS(-1)</f>
        <v>1</v>
      </c>
      <c r="D25" s="19" t="b">
        <f>B25&gt;C25</f>
        <v>1</v>
      </c>
    </row>
    <row r="26" spans="1:12" x14ac:dyDescent="0.45">
      <c r="B26" s="9"/>
      <c r="C26" s="9"/>
      <c r="D26" s="9"/>
    </row>
    <row r="27" spans="1:12" ht="28.05" customHeight="1" x14ac:dyDescent="0.5">
      <c r="A27" s="3" t="s">
        <v>22</v>
      </c>
    </row>
    <row r="29" spans="1:12" x14ac:dyDescent="0.45">
      <c r="A29" s="1" t="s">
        <v>23</v>
      </c>
      <c r="B29" s="21">
        <v>0</v>
      </c>
      <c r="C29" s="15">
        <v>0</v>
      </c>
      <c r="D29" s="17">
        <f>-1/3</f>
        <v>-0.33333333333333331</v>
      </c>
      <c r="F29" s="1" t="s">
        <v>24</v>
      </c>
      <c r="G29" s="24">
        <f>-2/3</f>
        <v>-0.66666666666666663</v>
      </c>
    </row>
    <row r="30" spans="1:12" x14ac:dyDescent="0.45">
      <c r="B30" s="22">
        <f>1/4</f>
        <v>0.25</v>
      </c>
      <c r="C30" s="9">
        <v>0</v>
      </c>
      <c r="D30" s="18">
        <f>1/2</f>
        <v>0.5</v>
      </c>
      <c r="G30" s="25">
        <f>7/4</f>
        <v>1.75</v>
      </c>
    </row>
    <row r="31" spans="1:12" x14ac:dyDescent="0.45">
      <c r="B31" s="23">
        <v>0</v>
      </c>
      <c r="C31" s="11">
        <f>1/2</f>
        <v>0.5</v>
      </c>
      <c r="D31" s="19">
        <v>0</v>
      </c>
      <c r="G31" s="26">
        <v>0</v>
      </c>
    </row>
    <row r="32" spans="1:12" x14ac:dyDescent="0.45">
      <c r="B32" s="9"/>
      <c r="C32" s="9"/>
    </row>
    <row r="33" spans="1:3" x14ac:dyDescent="0.45">
      <c r="A33" s="5" t="s">
        <v>10</v>
      </c>
      <c r="B33" s="31" t="s">
        <v>25</v>
      </c>
      <c r="C33" s="32" t="s">
        <v>12</v>
      </c>
    </row>
    <row r="34" spans="1:3" x14ac:dyDescent="0.45">
      <c r="A34" s="6">
        <v>0</v>
      </c>
      <c r="B34" s="154">
        <v>0</v>
      </c>
      <c r="C34" s="10"/>
    </row>
    <row r="35" spans="1:3" x14ac:dyDescent="0.45">
      <c r="A35" s="6"/>
      <c r="B35" s="154">
        <v>0</v>
      </c>
      <c r="C35" s="10"/>
    </row>
    <row r="36" spans="1:3" x14ac:dyDescent="0.45">
      <c r="A36" s="6"/>
      <c r="B36" s="154">
        <v>0</v>
      </c>
      <c r="C36" s="10"/>
    </row>
    <row r="37" spans="1:3" x14ac:dyDescent="0.45">
      <c r="A37" s="6">
        <v>1</v>
      </c>
      <c r="B37" s="154">
        <f>B29*B34+C29*B35+D29*B36+G29</f>
        <v>-0.66666666666666663</v>
      </c>
      <c r="C37" s="157">
        <f>MAX(ABS(B37-B34),ABS(B38-B35),ABS(B39-B36))</f>
        <v>1.75</v>
      </c>
    </row>
    <row r="38" spans="1:3" x14ac:dyDescent="0.45">
      <c r="A38" s="6"/>
      <c r="B38" s="154">
        <f>B30*B34+C30*B35+D30*B36+G30</f>
        <v>1.75</v>
      </c>
      <c r="C38" s="157"/>
    </row>
    <row r="39" spans="1:3" x14ac:dyDescent="0.45">
      <c r="A39" s="6"/>
      <c r="B39" s="154">
        <f>B31*B34+C31*B35+D31*B36+G31</f>
        <v>0</v>
      </c>
      <c r="C39" s="157"/>
    </row>
    <row r="40" spans="1:3" x14ac:dyDescent="0.45">
      <c r="A40" s="6">
        <v>2</v>
      </c>
      <c r="B40" s="154">
        <f>B29*B37+C29*B38+D29*B39+G29</f>
        <v>-0.66666666666666663</v>
      </c>
      <c r="C40" s="157">
        <f>MAX(ABS(B40-B37),ABS(B41-B38),ABS(B42-B39))</f>
        <v>0.875</v>
      </c>
    </row>
    <row r="41" spans="1:3" x14ac:dyDescent="0.45">
      <c r="A41" s="6"/>
      <c r="B41" s="154">
        <f>B30*B37+C30*B38+D30*B39+G30</f>
        <v>1.5833333333333333</v>
      </c>
      <c r="C41" s="157"/>
    </row>
    <row r="42" spans="1:3" x14ac:dyDescent="0.45">
      <c r="A42" s="7"/>
      <c r="B42" s="155">
        <f>B31*B37+C31*B38+D31*B39+G31</f>
        <v>0.875</v>
      </c>
      <c r="C42" s="158"/>
    </row>
    <row r="43" spans="1:3" x14ac:dyDescent="0.45">
      <c r="B43" s="154"/>
      <c r="C43" s="154"/>
    </row>
    <row r="44" spans="1:3" ht="15.75" x14ac:dyDescent="0.5">
      <c r="A44" s="3" t="s">
        <v>26</v>
      </c>
      <c r="B44" s="154"/>
      <c r="C44" s="154"/>
    </row>
    <row r="45" spans="1:3" x14ac:dyDescent="0.45">
      <c r="A45" s="5" t="s">
        <v>10</v>
      </c>
      <c r="B45" s="156" t="s">
        <v>27</v>
      </c>
      <c r="C45" s="159" t="s">
        <v>12</v>
      </c>
    </row>
    <row r="46" spans="1:3" x14ac:dyDescent="0.45">
      <c r="A46" s="6">
        <v>0</v>
      </c>
      <c r="B46" s="154">
        <v>0</v>
      </c>
      <c r="C46" s="157"/>
    </row>
    <row r="47" spans="1:3" x14ac:dyDescent="0.45">
      <c r="A47" s="6"/>
      <c r="B47" s="154">
        <v>0</v>
      </c>
      <c r="C47" s="157"/>
    </row>
    <row r="48" spans="1:3" x14ac:dyDescent="0.45">
      <c r="A48" s="6"/>
      <c r="B48" s="154">
        <v>0</v>
      </c>
      <c r="C48" s="157"/>
    </row>
    <row r="49" spans="1:4" x14ac:dyDescent="0.45">
      <c r="A49" s="6">
        <v>1</v>
      </c>
      <c r="B49" s="154">
        <f>-(2+B48)/3</f>
        <v>-0.66666666666666663</v>
      </c>
      <c r="C49" s="157">
        <f>MAX(ABS(B49-B46),ABS(B50-B47),ABS(B51-B48))</f>
        <v>1.5833333333333333</v>
      </c>
    </row>
    <row r="50" spans="1:4" x14ac:dyDescent="0.45">
      <c r="A50" s="6"/>
      <c r="B50" s="154">
        <f>(7+B49+2*B48)/4</f>
        <v>1.5833333333333333</v>
      </c>
      <c r="C50" s="157"/>
    </row>
    <row r="51" spans="1:4" x14ac:dyDescent="0.45">
      <c r="A51" s="6"/>
      <c r="B51" s="154">
        <f>B50/2</f>
        <v>0.79166666666666663</v>
      </c>
      <c r="C51" s="157"/>
    </row>
    <row r="52" spans="1:4" x14ac:dyDescent="0.45">
      <c r="A52" s="6">
        <v>2</v>
      </c>
      <c r="B52" s="154">
        <f>-(2+B51)/3</f>
        <v>-0.93055555555555547</v>
      </c>
      <c r="C52" s="157">
        <f>MAX(ABS(B52-B49),ABS(B53-B50),ABS(B54-B51))</f>
        <v>0.32986111111111116</v>
      </c>
    </row>
    <row r="53" spans="1:4" x14ac:dyDescent="0.45">
      <c r="A53" s="6"/>
      <c r="B53" s="154">
        <f>(7+B52+2*B51)/4</f>
        <v>1.9131944444444444</v>
      </c>
      <c r="C53" s="157"/>
    </row>
    <row r="54" spans="1:4" x14ac:dyDescent="0.45">
      <c r="A54" s="7"/>
      <c r="B54" s="155">
        <f>B53/2</f>
        <v>0.95659722222222221</v>
      </c>
      <c r="C54" s="158"/>
    </row>
    <row r="56" spans="1:4" ht="15.75" x14ac:dyDescent="0.5">
      <c r="A56" s="3" t="s">
        <v>28</v>
      </c>
      <c r="B56" s="1">
        <v>-1</v>
      </c>
      <c r="C56" s="1">
        <v>2</v>
      </c>
      <c r="D56" s="1">
        <v>1</v>
      </c>
    </row>
    <row r="57" spans="1:4" x14ac:dyDescent="0.45">
      <c r="A57" s="1" t="s">
        <v>29</v>
      </c>
      <c r="B57" s="9">
        <f>-3*B56-D56</f>
        <v>2</v>
      </c>
      <c r="C57" s="9">
        <v>2</v>
      </c>
    </row>
    <row r="58" spans="1:4" x14ac:dyDescent="0.45">
      <c r="A58" s="1" t="s">
        <v>30</v>
      </c>
      <c r="B58" s="9">
        <f>-B56+4*C56-2*D56</f>
        <v>7</v>
      </c>
      <c r="C58" s="9">
        <v>7</v>
      </c>
    </row>
    <row r="59" spans="1:4" x14ac:dyDescent="0.45">
      <c r="A59" s="1" t="s">
        <v>31</v>
      </c>
      <c r="B59" s="9">
        <f>-C56+2*D56</f>
        <v>0</v>
      </c>
      <c r="C59" s="9">
        <v>0</v>
      </c>
    </row>
  </sheetData>
  <conditionalFormatting sqref="B34:C54">
    <cfRule type="cellIs" dxfId="0" priority="1" stopIfTrue="1" operator="equal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366A-4D8C-4028-8B8D-94EF6C4D9F19}">
  <dimension ref="A1:L37"/>
  <sheetViews>
    <sheetView tabSelected="1" zoomScale="45" workbookViewId="0"/>
  </sheetViews>
  <sheetFormatPr defaultRowHeight="14.25" x14ac:dyDescent="0.45"/>
  <cols>
    <col min="1" max="1" width="8.59765625" style="1" customWidth="1"/>
    <col min="2" max="2" width="14.59765625" style="1" customWidth="1"/>
    <col min="3" max="4" width="16.59765625" style="1" customWidth="1"/>
    <col min="5" max="5" width="18.59765625" style="1" customWidth="1"/>
    <col min="6" max="7" width="16.59765625" style="1" customWidth="1"/>
    <col min="8" max="16384" width="9.06640625" style="1"/>
  </cols>
  <sheetData>
    <row r="1" ht="18" customHeight="1" x14ac:dyDescent="0.45"/>
    <row r="2" ht="18" customHeight="1" x14ac:dyDescent="0.45"/>
    <row r="3" ht="18" customHeight="1" x14ac:dyDescent="0.45"/>
    <row r="4" ht="18" customHeight="1" x14ac:dyDescent="0.45"/>
    <row r="5" ht="18" customHeight="1" x14ac:dyDescent="0.45"/>
    <row r="6" ht="18" customHeight="1" x14ac:dyDescent="0.45"/>
    <row r="7" ht="18" customHeight="1" x14ac:dyDescent="0.45"/>
    <row r="8" ht="18" customHeight="1" x14ac:dyDescent="0.45"/>
    <row r="9" ht="18" customHeight="1" x14ac:dyDescent="0.45"/>
    <row r="10" ht="18" customHeight="1" x14ac:dyDescent="0.45"/>
    <row r="11" ht="18" customHeight="1" x14ac:dyDescent="0.45"/>
    <row r="12" ht="18" customHeight="1" x14ac:dyDescent="0.45"/>
    <row r="13" ht="18" customHeight="1" x14ac:dyDescent="0.45"/>
    <row r="14" ht="18" customHeight="1" x14ac:dyDescent="0.45"/>
    <row r="15" ht="18" customHeight="1" x14ac:dyDescent="0.45"/>
    <row r="16" ht="54" customHeight="1" x14ac:dyDescent="0.45"/>
    <row r="17" spans="1:12" ht="21" x14ac:dyDescent="0.65">
      <c r="A17" s="2" t="s">
        <v>32</v>
      </c>
    </row>
    <row r="18" spans="1:12" ht="126" x14ac:dyDescent="0.55000000000000004">
      <c r="A18" s="3" t="s">
        <v>33</v>
      </c>
      <c r="I18" s="20" t="s">
        <v>13</v>
      </c>
    </row>
    <row r="19" spans="1:12" ht="18" x14ac:dyDescent="0.55000000000000004">
      <c r="A19" s="30" t="s">
        <v>73</v>
      </c>
      <c r="L19" s="30" t="s">
        <v>13</v>
      </c>
    </row>
    <row r="20" spans="1:12" x14ac:dyDescent="0.45">
      <c r="A20" s="76" t="s">
        <v>74</v>
      </c>
      <c r="B20" s="89">
        <v>200</v>
      </c>
      <c r="C20" s="68"/>
      <c r="D20" s="68"/>
      <c r="E20" s="68"/>
      <c r="F20" s="69"/>
      <c r="G20" s="70"/>
    </row>
    <row r="21" spans="1:12" x14ac:dyDescent="0.45">
      <c r="A21" s="77" t="s">
        <v>75</v>
      </c>
      <c r="B21" s="28">
        <f>C26+D26*(B20-B26)+E26*(B20-B26)*(B20-B27)+F26*(B20-B26)*(B20-B27)*(B20-B28)+G26*(B20-B26)*(B20-B27)*(B20-B28)*(B20-B29)</f>
        <v>42</v>
      </c>
      <c r="C21" s="71"/>
      <c r="D21" s="71"/>
      <c r="E21" s="71"/>
      <c r="F21" s="71"/>
      <c r="G21" s="72"/>
    </row>
    <row r="22" spans="1:12" x14ac:dyDescent="0.45">
      <c r="A22" s="6"/>
      <c r="B22" s="71"/>
      <c r="C22" s="71"/>
      <c r="D22" s="71"/>
      <c r="E22" s="71"/>
      <c r="F22" s="71"/>
      <c r="G22" s="72"/>
    </row>
    <row r="23" spans="1:12" ht="20" customHeight="1" x14ac:dyDescent="0.45">
      <c r="A23" s="83" t="s">
        <v>10</v>
      </c>
      <c r="B23" s="84" t="s">
        <v>50</v>
      </c>
      <c r="C23" s="84" t="s">
        <v>76</v>
      </c>
      <c r="D23" s="84" t="s">
        <v>77</v>
      </c>
      <c r="E23" s="84" t="s">
        <v>78</v>
      </c>
      <c r="F23" s="84" t="s">
        <v>79</v>
      </c>
      <c r="G23" s="85" t="s">
        <v>80</v>
      </c>
    </row>
    <row r="24" spans="1:12" ht="30" customHeight="1" x14ac:dyDescent="0.45">
      <c r="A24" s="78"/>
      <c r="B24" s="79"/>
      <c r="C24" s="79" t="s">
        <v>81</v>
      </c>
      <c r="D24" s="79" t="s">
        <v>82</v>
      </c>
      <c r="E24" s="79" t="s">
        <v>83</v>
      </c>
      <c r="F24" s="79" t="s">
        <v>84</v>
      </c>
      <c r="G24" s="86" t="s">
        <v>85</v>
      </c>
    </row>
    <row r="25" spans="1:12" x14ac:dyDescent="0.45">
      <c r="A25" s="80"/>
      <c r="B25" s="73"/>
      <c r="C25" s="73"/>
      <c r="D25" s="73"/>
      <c r="E25" s="73"/>
      <c r="F25" s="73"/>
      <c r="G25" s="87"/>
    </row>
    <row r="26" spans="1:12" x14ac:dyDescent="0.45">
      <c r="A26" s="81">
        <v>0</v>
      </c>
      <c r="B26" s="1">
        <v>0</v>
      </c>
      <c r="C26" s="71">
        <v>50</v>
      </c>
      <c r="D26" s="71">
        <f>(C27-C26)/(B27-B26)</f>
        <v>-5.5999999999999987E-2</v>
      </c>
      <c r="E26" s="71">
        <f>(D27-D26)/(B28-B26)</f>
        <v>1.9999999999999987E-4</v>
      </c>
      <c r="F26" s="71">
        <f>(E27-E26)/(B29-B26)</f>
        <v>9.6179224978552814E-22</v>
      </c>
      <c r="G26" s="88">
        <f>(F27-F26)/(B30-B26)</f>
        <v>-6.2766312404834787E-24</v>
      </c>
    </row>
    <row r="27" spans="1:12" x14ac:dyDescent="0.45">
      <c r="A27" s="82">
        <v>1</v>
      </c>
      <c r="B27" s="75">
        <v>120</v>
      </c>
      <c r="C27" s="71">
        <v>43.28</v>
      </c>
      <c r="D27" s="71">
        <f>(C28-C27)/(B28-B27)</f>
        <v>-1.0000000000000012E-2</v>
      </c>
      <c r="E27" s="71">
        <f>(D28-D27)/(B29-B27)</f>
        <v>2.0000000000000017E-4</v>
      </c>
      <c r="F27" s="71">
        <f>(E28-E27)/(B30-B27)</f>
        <v>-1.5488602464078634E-21</v>
      </c>
      <c r="G27" s="88"/>
    </row>
    <row r="28" spans="1:12" x14ac:dyDescent="0.45">
      <c r="A28" s="81">
        <v>2</v>
      </c>
      <c r="B28" s="71">
        <v>230</v>
      </c>
      <c r="C28" s="71">
        <v>42.18</v>
      </c>
      <c r="D28" s="71">
        <f>(C29-C28)/(B29-B28)</f>
        <v>2.8000000000000025E-2</v>
      </c>
      <c r="E28" s="71">
        <f>(D29-D28)/(B30-B28)</f>
        <v>1.9999999999999974E-4</v>
      </c>
      <c r="F28" s="71"/>
      <c r="G28" s="88"/>
    </row>
    <row r="29" spans="1:12" x14ac:dyDescent="0.45">
      <c r="A29" s="81">
        <v>3</v>
      </c>
      <c r="B29" s="71">
        <v>310</v>
      </c>
      <c r="C29" s="71">
        <v>44.42</v>
      </c>
      <c r="D29" s="71">
        <f>(C30-C29)/(B30-B29)</f>
        <v>6.1999999999999979E-2</v>
      </c>
      <c r="E29" s="71"/>
      <c r="F29" s="71"/>
      <c r="G29" s="88"/>
    </row>
    <row r="30" spans="1:12" x14ac:dyDescent="0.45">
      <c r="A30" s="80">
        <v>4</v>
      </c>
      <c r="B30" s="73">
        <v>400</v>
      </c>
      <c r="C30" s="73">
        <v>50</v>
      </c>
      <c r="D30" s="73"/>
      <c r="E30" s="73"/>
      <c r="F30" s="73"/>
      <c r="G30" s="87"/>
    </row>
    <row r="31" spans="1:12" x14ac:dyDescent="0.45">
      <c r="B31" s="71"/>
    </row>
    <row r="32" spans="1:12" x14ac:dyDescent="0.45">
      <c r="A32" s="74" t="s">
        <v>34</v>
      </c>
      <c r="B32" s="75">
        <f>50-B21</f>
        <v>8</v>
      </c>
    </row>
    <row r="33" spans="1:2" ht="15.75" x14ac:dyDescent="0.5">
      <c r="A33" s="90" t="s">
        <v>86</v>
      </c>
      <c r="B33" s="71"/>
    </row>
    <row r="34" spans="1:2" x14ac:dyDescent="0.45">
      <c r="A34" s="74"/>
      <c r="B34" s="75"/>
    </row>
    <row r="35" spans="1:2" x14ac:dyDescent="0.45">
      <c r="A35" s="74"/>
      <c r="B35" s="75"/>
    </row>
    <row r="37" spans="1:2" ht="36" customHeight="1" x14ac:dyDescent="0.5">
      <c r="A37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9460-B1AA-45C7-9079-0C3905669005}">
  <dimension ref="A1:L52"/>
  <sheetViews>
    <sheetView zoomScale="53" workbookViewId="0"/>
  </sheetViews>
  <sheetFormatPr defaultRowHeight="14.25" x14ac:dyDescent="0.45"/>
  <cols>
    <col min="1" max="7" width="14.59765625" style="1" customWidth="1"/>
    <col min="8" max="10" width="16.59765625" style="1" customWidth="1"/>
    <col min="11" max="16384" width="9.06640625" style="1"/>
  </cols>
  <sheetData>
    <row r="1" ht="18" customHeight="1" x14ac:dyDescent="0.45"/>
    <row r="2" ht="18" customHeight="1" x14ac:dyDescent="0.45"/>
    <row r="3" ht="18" customHeight="1" x14ac:dyDescent="0.45"/>
    <row r="4" ht="18" customHeight="1" x14ac:dyDescent="0.45"/>
    <row r="5" ht="18" customHeight="1" x14ac:dyDescent="0.45"/>
    <row r="6" ht="18" customHeight="1" x14ac:dyDescent="0.45"/>
    <row r="7" ht="18" customHeight="1" x14ac:dyDescent="0.45"/>
    <row r="8" ht="18" customHeight="1" x14ac:dyDescent="0.45"/>
    <row r="9" ht="18" customHeight="1" x14ac:dyDescent="0.45"/>
    <row r="10" ht="18" customHeight="1" x14ac:dyDescent="0.45"/>
    <row r="11" ht="18" customHeight="1" x14ac:dyDescent="0.45"/>
    <row r="12" ht="18" customHeight="1" x14ac:dyDescent="0.45"/>
    <row r="13" ht="18" customHeight="1" x14ac:dyDescent="0.45"/>
    <row r="14" ht="18" customHeight="1" x14ac:dyDescent="0.45"/>
    <row r="15" ht="18" customHeight="1" x14ac:dyDescent="0.45"/>
    <row r="16" ht="18" customHeight="1" x14ac:dyDescent="0.45"/>
    <row r="17" spans="1:12" ht="18" customHeight="1" x14ac:dyDescent="0.45"/>
    <row r="18" spans="1:12" ht="18" customHeight="1" x14ac:dyDescent="0.45"/>
    <row r="19" spans="1:12" ht="18" customHeight="1" x14ac:dyDescent="0.45"/>
    <row r="20" spans="1:12" ht="18" customHeight="1" x14ac:dyDescent="0.45"/>
    <row r="21" spans="1:12" ht="18" customHeight="1" x14ac:dyDescent="0.45"/>
    <row r="22" spans="1:12" ht="18" customHeight="1" x14ac:dyDescent="0.45"/>
    <row r="23" spans="1:12" ht="18" customHeight="1" x14ac:dyDescent="0.45"/>
    <row r="24" spans="1:12" ht="18" customHeight="1" x14ac:dyDescent="0.45"/>
    <row r="25" spans="1:12" ht="18" customHeight="1" x14ac:dyDescent="0.45"/>
    <row r="26" spans="1:12" ht="21" x14ac:dyDescent="0.65">
      <c r="A26" s="2" t="s">
        <v>35</v>
      </c>
    </row>
    <row r="27" spans="1:12" ht="126" x14ac:dyDescent="0.55000000000000004">
      <c r="A27" s="3" t="s">
        <v>36</v>
      </c>
      <c r="L27" s="20" t="s">
        <v>13</v>
      </c>
    </row>
    <row r="28" spans="1:12" ht="18" x14ac:dyDescent="0.55000000000000004">
      <c r="A28" s="107" t="s">
        <v>87</v>
      </c>
      <c r="B28" s="92"/>
      <c r="C28" s="92"/>
      <c r="D28" s="92"/>
      <c r="E28" s="92"/>
      <c r="F28" s="92"/>
      <c r="G28" s="92"/>
      <c r="H28" s="92"/>
      <c r="I28" s="92"/>
      <c r="J28" s="92"/>
      <c r="L28" s="30" t="s">
        <v>13</v>
      </c>
    </row>
    <row r="29" spans="1:12" x14ac:dyDescent="0.45">
      <c r="A29" s="92" t="s">
        <v>88</v>
      </c>
      <c r="B29" s="92"/>
      <c r="C29" s="92" t="s">
        <v>89</v>
      </c>
      <c r="D29" s="27" t="s">
        <v>74</v>
      </c>
      <c r="E29" s="123">
        <v>4</v>
      </c>
      <c r="F29" s="92"/>
      <c r="G29" s="92"/>
      <c r="H29" s="92"/>
      <c r="I29" s="92"/>
      <c r="J29" s="92"/>
    </row>
    <row r="30" spans="1:12" x14ac:dyDescent="0.45">
      <c r="A30" s="93"/>
      <c r="B30" s="94"/>
      <c r="C30" s="94"/>
      <c r="D30" s="94"/>
      <c r="E30" s="94"/>
      <c r="F30" s="94"/>
      <c r="G30" s="94"/>
      <c r="H30" s="94"/>
      <c r="I30" s="94"/>
      <c r="J30" s="95"/>
    </row>
    <row r="31" spans="1:12" x14ac:dyDescent="0.45">
      <c r="A31" s="108" t="s">
        <v>10</v>
      </c>
      <c r="B31" s="109" t="s">
        <v>90</v>
      </c>
      <c r="C31" s="109" t="s">
        <v>91</v>
      </c>
      <c r="D31" s="109" t="s">
        <v>92</v>
      </c>
      <c r="E31" s="109" t="s">
        <v>93</v>
      </c>
      <c r="F31" s="109" t="s">
        <v>94</v>
      </c>
      <c r="G31" s="109" t="s">
        <v>95</v>
      </c>
      <c r="H31" s="109" t="s">
        <v>96</v>
      </c>
      <c r="I31" s="114" t="s">
        <v>97</v>
      </c>
      <c r="J31" s="160" t="s">
        <v>117</v>
      </c>
    </row>
    <row r="32" spans="1:12" x14ac:dyDescent="0.45">
      <c r="A32" s="110">
        <v>0</v>
      </c>
      <c r="B32" s="111">
        <v>0</v>
      </c>
      <c r="C32" s="111">
        <v>600</v>
      </c>
      <c r="D32" s="111">
        <f>B32^2</f>
        <v>0</v>
      </c>
      <c r="E32" s="111">
        <f>B32^3</f>
        <v>0</v>
      </c>
      <c r="F32" s="111">
        <f>B32^4</f>
        <v>0</v>
      </c>
      <c r="G32" s="111">
        <f>B32*C32</f>
        <v>0</v>
      </c>
      <c r="H32" s="111">
        <f>D32*C32</f>
        <v>0</v>
      </c>
      <c r="I32" s="115">
        <f>($B$42+$B$43*B32+$B$44*D32-C32)^2</f>
        <v>2.9391134267202266</v>
      </c>
      <c r="J32" s="161">
        <f>(C32-$B$49)^2</f>
        <v>28764.160000000007</v>
      </c>
    </row>
    <row r="33" spans="1:10" x14ac:dyDescent="0.45">
      <c r="A33" s="110">
        <v>1</v>
      </c>
      <c r="B33" s="111">
        <v>3</v>
      </c>
      <c r="C33" s="111">
        <v>550</v>
      </c>
      <c r="D33" s="111">
        <f>B33^2</f>
        <v>9</v>
      </c>
      <c r="E33" s="111">
        <f>B33^3</f>
        <v>27</v>
      </c>
      <c r="F33" s="111">
        <f>B33^4</f>
        <v>81</v>
      </c>
      <c r="G33" s="111">
        <f>B33*C33</f>
        <v>1650</v>
      </c>
      <c r="H33" s="111">
        <f>D33*C33</f>
        <v>4950</v>
      </c>
      <c r="I33" s="115">
        <f>($B$42+$B$43*B33+$B$44*D33-C33)^2</f>
        <v>31.478331491613552</v>
      </c>
      <c r="J33" s="161">
        <f>(C33-$B$49)^2</f>
        <v>14304.160000000005</v>
      </c>
    </row>
    <row r="34" spans="1:10" x14ac:dyDescent="0.45">
      <c r="A34" s="110">
        <v>2</v>
      </c>
      <c r="B34" s="111">
        <v>5</v>
      </c>
      <c r="C34" s="111">
        <v>450</v>
      </c>
      <c r="D34" s="111">
        <f>B34^2</f>
        <v>25</v>
      </c>
      <c r="E34" s="111">
        <f>B34^3</f>
        <v>125</v>
      </c>
      <c r="F34" s="111">
        <f>B34^4</f>
        <v>625</v>
      </c>
      <c r="G34" s="111">
        <f>B34*C34</f>
        <v>2250</v>
      </c>
      <c r="H34" s="111">
        <f>D34*C34</f>
        <v>11250</v>
      </c>
      <c r="I34" s="115">
        <f>($B$42+$B$43*B34+$B$44*D34-C34)^2</f>
        <v>7.2950301878683979</v>
      </c>
      <c r="J34" s="161">
        <f>(C34-$B$49)^2</f>
        <v>384.16000000000088</v>
      </c>
    </row>
    <row r="35" spans="1:10" x14ac:dyDescent="0.45">
      <c r="A35" s="110">
        <v>3</v>
      </c>
      <c r="B35" s="111">
        <v>7</v>
      </c>
      <c r="C35" s="111">
        <v>312</v>
      </c>
      <c r="D35" s="111">
        <f>B35^2</f>
        <v>49</v>
      </c>
      <c r="E35" s="111">
        <f>B35^3</f>
        <v>343</v>
      </c>
      <c r="F35" s="111">
        <f>B35^4</f>
        <v>2401</v>
      </c>
      <c r="G35" s="111">
        <f>B35*C35</f>
        <v>2184</v>
      </c>
      <c r="H35" s="111">
        <f>D35*C35</f>
        <v>15288</v>
      </c>
      <c r="I35" s="115">
        <f>($B$42+$B$43*B35+$B$44*D35-C35)^2</f>
        <v>38.874085115259113</v>
      </c>
      <c r="J35" s="161">
        <f>(C35-$B$49)^2</f>
        <v>14018.559999999994</v>
      </c>
    </row>
    <row r="36" spans="1:10" x14ac:dyDescent="0.45">
      <c r="A36" s="112">
        <v>4</v>
      </c>
      <c r="B36" s="100">
        <v>8</v>
      </c>
      <c r="C36" s="100">
        <v>240</v>
      </c>
      <c r="D36" s="100">
        <f>B36^2</f>
        <v>64</v>
      </c>
      <c r="E36" s="100">
        <f>B36^3</f>
        <v>512</v>
      </c>
      <c r="F36" s="100">
        <f>B36^4</f>
        <v>4096</v>
      </c>
      <c r="G36" s="100">
        <f>B36*C36</f>
        <v>1920</v>
      </c>
      <c r="H36" s="100">
        <f>D36*C36</f>
        <v>15360</v>
      </c>
      <c r="I36" s="116">
        <f>($B$42+$B$43*B36+$B$44*D36-C36)^2</f>
        <v>25.39826213107407</v>
      </c>
      <c r="J36" s="162">
        <f>(C36-$B$49)^2</f>
        <v>36252.159999999989</v>
      </c>
    </row>
    <row r="37" spans="1:10" x14ac:dyDescent="0.45">
      <c r="A37" s="113" t="s">
        <v>37</v>
      </c>
      <c r="B37" s="100">
        <f>SUM(B32:B36)</f>
        <v>23</v>
      </c>
      <c r="C37" s="100">
        <f>SUM(C32:C36)</f>
        <v>2152</v>
      </c>
      <c r="D37" s="100">
        <f>SUM(D32:D36)</f>
        <v>147</v>
      </c>
      <c r="E37" s="100">
        <f>SUM(E32:E36)</f>
        <v>1007</v>
      </c>
      <c r="F37" s="100">
        <f>SUM(F32:F36)</f>
        <v>7203</v>
      </c>
      <c r="G37" s="100">
        <f>SUM(G32:G36)</f>
        <v>8004</v>
      </c>
      <c r="H37" s="100">
        <f>SUM(H32:H36)</f>
        <v>46848</v>
      </c>
      <c r="I37" s="116">
        <f>SUM(I32:I36)</f>
        <v>105.98482235253536</v>
      </c>
      <c r="J37" s="162">
        <f>SUM(J32:J36)</f>
        <v>93723.199999999997</v>
      </c>
    </row>
    <row r="38" spans="1:10" x14ac:dyDescent="0.45">
      <c r="A38" s="92"/>
      <c r="B38" s="92"/>
      <c r="C38" s="92"/>
      <c r="D38" s="92"/>
      <c r="E38" s="92"/>
      <c r="F38" s="92"/>
      <c r="G38" s="92"/>
      <c r="H38" s="92"/>
      <c r="I38" s="92"/>
      <c r="J38" s="92"/>
    </row>
    <row r="39" spans="1:10" x14ac:dyDescent="0.45">
      <c r="A39" s="92" t="s">
        <v>39</v>
      </c>
      <c r="B39" s="97">
        <f>COUNTA(A32:A36)</f>
        <v>5</v>
      </c>
      <c r="C39" s="92"/>
      <c r="D39" s="92" t="s">
        <v>24</v>
      </c>
      <c r="E39" s="92"/>
      <c r="F39" s="92"/>
      <c r="G39" s="92"/>
      <c r="H39" s="92" t="s">
        <v>41</v>
      </c>
      <c r="I39" s="92"/>
      <c r="J39" s="92"/>
    </row>
    <row r="40" spans="1:10" x14ac:dyDescent="0.45">
      <c r="A40" s="92" t="s">
        <v>40</v>
      </c>
      <c r="B40" s="97">
        <v>2</v>
      </c>
      <c r="C40" s="92"/>
      <c r="D40" s="117">
        <f>B39</f>
        <v>5</v>
      </c>
      <c r="E40" s="118">
        <f>B37</f>
        <v>23</v>
      </c>
      <c r="F40" s="119">
        <f>D37</f>
        <v>147</v>
      </c>
      <c r="G40" s="92"/>
      <c r="H40" s="102">
        <f>C37</f>
        <v>2152</v>
      </c>
      <c r="I40" s="92"/>
      <c r="J40" s="92"/>
    </row>
    <row r="41" spans="1:10" x14ac:dyDescent="0.45">
      <c r="A41" s="91"/>
      <c r="B41" s="103"/>
      <c r="C41" s="92"/>
      <c r="D41" s="120">
        <f>B37</f>
        <v>23</v>
      </c>
      <c r="E41" s="111">
        <f>D37</f>
        <v>147</v>
      </c>
      <c r="F41" s="115">
        <f>E37</f>
        <v>1007</v>
      </c>
      <c r="G41" s="92"/>
      <c r="H41" s="104">
        <f>G37</f>
        <v>8004</v>
      </c>
      <c r="I41" s="92"/>
      <c r="J41" s="92"/>
    </row>
    <row r="42" spans="1:10" x14ac:dyDescent="0.45">
      <c r="A42" s="29" t="s">
        <v>42</v>
      </c>
      <c r="B42" s="122">
        <f>INDEX(MMULT(MINVERSE(D40:F42),H40:H42),1,1)</f>
        <v>601.71438427043654</v>
      </c>
      <c r="C42" s="92"/>
      <c r="D42" s="121">
        <f>D37</f>
        <v>147</v>
      </c>
      <c r="E42" s="100">
        <f>E37</f>
        <v>1007</v>
      </c>
      <c r="F42" s="116">
        <f>F37</f>
        <v>7203</v>
      </c>
      <c r="G42" s="92"/>
      <c r="H42" s="106">
        <f>H37</f>
        <v>46848</v>
      </c>
      <c r="I42" s="92"/>
      <c r="J42" s="92"/>
    </row>
    <row r="43" spans="1:10" x14ac:dyDescent="0.45">
      <c r="A43" s="29" t="s">
        <v>43</v>
      </c>
      <c r="B43" s="122">
        <f>INDEX(MMULT(MINVERSE(D40:F42),H40:H42),2,1)</f>
        <v>-3.0667471541910345</v>
      </c>
      <c r="C43" s="92"/>
      <c r="D43" s="92"/>
      <c r="E43" s="92"/>
      <c r="F43" s="92"/>
      <c r="G43" s="92"/>
      <c r="H43" s="92"/>
      <c r="I43" s="92"/>
      <c r="J43" s="92"/>
    </row>
    <row r="44" spans="1:10" x14ac:dyDescent="0.45">
      <c r="A44" s="29" t="s">
        <v>44</v>
      </c>
      <c r="B44" s="122">
        <f>INDEX(MMULT(MINVERSE(D40:F42),H40:H42),3,1)</f>
        <v>-5.3471886857537356</v>
      </c>
      <c r="C44" s="92"/>
      <c r="D44" s="92"/>
      <c r="E44" s="92"/>
      <c r="F44" s="92"/>
      <c r="G44" s="92"/>
      <c r="H44" s="92"/>
      <c r="I44" s="92"/>
      <c r="J44" s="92"/>
    </row>
    <row r="45" spans="1:10" x14ac:dyDescent="0.45">
      <c r="A45" s="105"/>
      <c r="B45" s="103"/>
      <c r="C45" s="92"/>
      <c r="D45" s="92"/>
      <c r="E45" s="92"/>
      <c r="F45" s="92"/>
      <c r="G45" s="92"/>
      <c r="H45" s="92"/>
      <c r="I45" s="92"/>
      <c r="J45" s="92"/>
    </row>
    <row r="46" spans="1:10" x14ac:dyDescent="0.45">
      <c r="A46" s="29" t="s">
        <v>98</v>
      </c>
      <c r="B46" s="122">
        <f>B42+B43*E29+B44*E29^2</f>
        <v>503.89237668161263</v>
      </c>
      <c r="C46" s="92"/>
      <c r="D46" s="92"/>
      <c r="E46" s="92"/>
      <c r="F46" s="92"/>
      <c r="G46" s="92"/>
      <c r="H46" s="92"/>
      <c r="I46" s="92"/>
      <c r="J46" s="92"/>
    </row>
    <row r="47" spans="1:10" x14ac:dyDescent="0.45">
      <c r="A47" s="92" t="s">
        <v>45</v>
      </c>
      <c r="B47" s="97">
        <f>I37</f>
        <v>105.98482235253536</v>
      </c>
      <c r="C47" s="92"/>
      <c r="D47" s="92"/>
      <c r="E47" s="92"/>
      <c r="F47" s="92"/>
      <c r="G47" s="92"/>
      <c r="H47" s="92"/>
      <c r="I47" s="92"/>
      <c r="J47" s="92"/>
    </row>
    <row r="48" spans="1:10" x14ac:dyDescent="0.45">
      <c r="A48" s="92" t="s">
        <v>99</v>
      </c>
      <c r="B48" s="97"/>
      <c r="C48" s="92"/>
      <c r="D48" s="92"/>
      <c r="E48" s="92"/>
      <c r="F48" s="92"/>
      <c r="G48" s="92"/>
      <c r="H48" s="92"/>
      <c r="I48" s="92"/>
      <c r="J48" s="92"/>
    </row>
    <row r="49" spans="1:10" x14ac:dyDescent="0.45">
      <c r="A49" s="92" t="s">
        <v>38</v>
      </c>
      <c r="B49" s="97">
        <f>C37/B39</f>
        <v>430.4</v>
      </c>
      <c r="C49" s="92"/>
      <c r="D49" s="92"/>
      <c r="E49" s="92"/>
      <c r="F49" s="92"/>
      <c r="G49" s="92"/>
      <c r="H49" s="92"/>
      <c r="I49" s="92"/>
      <c r="J49" s="92"/>
    </row>
    <row r="50" spans="1:10" x14ac:dyDescent="0.45">
      <c r="A50" s="92" t="s">
        <v>46</v>
      </c>
      <c r="B50" s="97">
        <f>J37</f>
        <v>93723.199999999997</v>
      </c>
      <c r="C50" s="92"/>
      <c r="D50" s="92"/>
      <c r="E50" s="92"/>
      <c r="F50" s="92"/>
      <c r="G50" s="92"/>
      <c r="H50" s="92"/>
      <c r="I50" s="92"/>
      <c r="J50" s="92"/>
    </row>
    <row r="51" spans="1:10" x14ac:dyDescent="0.45">
      <c r="A51" s="1" t="s">
        <v>47</v>
      </c>
      <c r="B51" s="9">
        <f>(B50-B47)/B50</f>
        <v>0.99886917196219793</v>
      </c>
    </row>
    <row r="52" spans="1:10" ht="47.25" x14ac:dyDescent="0.5">
      <c r="A52" s="3" t="str">
        <f>"La parabola representa el "&amp;TEXT(B51*100,"0.00")&amp;"% de la variabilidad de v."</f>
        <v>La parabola representa el 99.89% de la variabilidad de v.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4675-88F7-433C-81F3-DABAADE91BB4}">
  <dimension ref="A1:L50"/>
  <sheetViews>
    <sheetView zoomScale="59" workbookViewId="0"/>
  </sheetViews>
  <sheetFormatPr defaultRowHeight="14.25" x14ac:dyDescent="0.45"/>
  <cols>
    <col min="1" max="1" width="36.59765625" style="1" customWidth="1"/>
    <col min="2" max="4" width="14.59765625" style="1" customWidth="1"/>
    <col min="5" max="5" width="8.59765625" style="1" customWidth="1"/>
    <col min="6" max="6" width="14.59765625" style="1" customWidth="1"/>
    <col min="7" max="8" width="16.59765625" style="1" customWidth="1"/>
    <col min="9" max="16384" width="9.06640625" style="1"/>
  </cols>
  <sheetData>
    <row r="1" ht="18" customHeight="1" x14ac:dyDescent="0.45"/>
    <row r="2" ht="18" customHeight="1" x14ac:dyDescent="0.45"/>
    <row r="3" ht="18" customHeight="1" x14ac:dyDescent="0.45"/>
    <row r="4" ht="18" customHeight="1" x14ac:dyDescent="0.45"/>
    <row r="5" ht="18" customHeight="1" x14ac:dyDescent="0.45"/>
    <row r="6" ht="18" customHeight="1" x14ac:dyDescent="0.45"/>
    <row r="7" ht="18" customHeight="1" x14ac:dyDescent="0.45"/>
    <row r="8" ht="18" customHeight="1" x14ac:dyDescent="0.45"/>
    <row r="9" ht="18" customHeight="1" x14ac:dyDescent="0.45"/>
    <row r="10" ht="18" customHeight="1" x14ac:dyDescent="0.45"/>
    <row r="11" ht="18" customHeight="1" x14ac:dyDescent="0.45"/>
    <row r="12" ht="18" customHeight="1" x14ac:dyDescent="0.45"/>
    <row r="13" ht="18" customHeight="1" x14ac:dyDescent="0.45"/>
    <row r="14" ht="18" customHeight="1" x14ac:dyDescent="0.45"/>
    <row r="15" ht="18" customHeight="1" x14ac:dyDescent="0.45"/>
    <row r="16" ht="18" customHeight="1" x14ac:dyDescent="0.45"/>
    <row r="17" spans="1:12" ht="18" customHeight="1" x14ac:dyDescent="0.45"/>
    <row r="18" spans="1:12" ht="18" customHeight="1" x14ac:dyDescent="0.45"/>
    <row r="19" spans="1:12" ht="18" customHeight="1" x14ac:dyDescent="0.45"/>
    <row r="20" spans="1:12" ht="18" customHeight="1" x14ac:dyDescent="0.45"/>
    <row r="21" spans="1:12" ht="18" customHeight="1" x14ac:dyDescent="0.45"/>
    <row r="22" spans="1:12" ht="21" x14ac:dyDescent="0.65">
      <c r="A22" s="2" t="s">
        <v>48</v>
      </c>
      <c r="L22" s="74" t="s">
        <v>13</v>
      </c>
    </row>
    <row r="23" spans="1:12" ht="32" customHeight="1" x14ac:dyDescent="0.55000000000000004">
      <c r="A23" s="125" t="s">
        <v>100</v>
      </c>
      <c r="B23" s="92" t="s">
        <v>101</v>
      </c>
      <c r="C23" s="92"/>
      <c r="D23" s="92"/>
      <c r="E23" s="144" t="s">
        <v>74</v>
      </c>
      <c r="F23" s="143">
        <v>2</v>
      </c>
      <c r="G23" s="92"/>
      <c r="H23" s="92"/>
      <c r="I23" s="92"/>
      <c r="J23" s="92"/>
    </row>
    <row r="24" spans="1:12" ht="18" x14ac:dyDescent="0.55000000000000004">
      <c r="A24" s="92" t="s">
        <v>102</v>
      </c>
      <c r="B24" s="92"/>
      <c r="C24" s="92"/>
      <c r="D24" s="92"/>
      <c r="E24" s="92"/>
      <c r="F24" s="92"/>
      <c r="G24" s="92"/>
      <c r="H24" s="92"/>
      <c r="I24" s="92"/>
      <c r="J24" s="92"/>
      <c r="L24" s="30" t="s">
        <v>13</v>
      </c>
    </row>
    <row r="25" spans="1:12" x14ac:dyDescent="0.45">
      <c r="A25" s="93"/>
      <c r="B25" s="94"/>
      <c r="C25" s="95"/>
      <c r="D25" s="92"/>
      <c r="E25" s="92"/>
      <c r="F25" s="92"/>
      <c r="G25" s="92"/>
      <c r="H25" s="92"/>
      <c r="I25" s="92"/>
      <c r="J25" s="92"/>
    </row>
    <row r="26" spans="1:12" x14ac:dyDescent="0.45">
      <c r="A26" s="96" t="s">
        <v>103</v>
      </c>
      <c r="B26" s="97"/>
      <c r="C26" s="98"/>
      <c r="D26" s="92"/>
      <c r="E26" s="92"/>
      <c r="F26" s="92"/>
      <c r="G26" s="92"/>
      <c r="H26" s="92"/>
      <c r="I26" s="92"/>
      <c r="J26" s="92"/>
    </row>
    <row r="27" spans="1:12" x14ac:dyDescent="0.45">
      <c r="A27" s="127" t="s">
        <v>49</v>
      </c>
      <c r="B27" s="109" t="s">
        <v>50</v>
      </c>
      <c r="C27" s="114" t="s">
        <v>51</v>
      </c>
      <c r="D27" s="92"/>
      <c r="E27" s="92"/>
      <c r="F27" s="92"/>
      <c r="G27" s="92"/>
      <c r="H27" s="92"/>
      <c r="I27" s="92"/>
      <c r="J27" s="92"/>
    </row>
    <row r="28" spans="1:12" x14ac:dyDescent="0.45">
      <c r="A28" s="126">
        <v>1</v>
      </c>
      <c r="B28" s="134">
        <v>2.5</v>
      </c>
      <c r="C28" s="135">
        <v>4.97</v>
      </c>
      <c r="D28" s="92"/>
      <c r="E28" s="92"/>
      <c r="F28" s="92"/>
      <c r="G28" s="92"/>
      <c r="H28" s="92"/>
      <c r="I28" s="92"/>
      <c r="J28" s="92"/>
    </row>
    <row r="29" spans="1:12" x14ac:dyDescent="0.45">
      <c r="A29" s="126">
        <v>2</v>
      </c>
      <c r="B29" s="134">
        <v>5</v>
      </c>
      <c r="C29" s="135">
        <v>2.4700000000000002</v>
      </c>
      <c r="D29" s="92"/>
      <c r="E29" s="92"/>
      <c r="F29" s="92"/>
      <c r="G29" s="92"/>
      <c r="H29" s="92"/>
      <c r="I29" s="92"/>
      <c r="J29" s="92"/>
    </row>
    <row r="30" spans="1:12" x14ac:dyDescent="0.45">
      <c r="A30" s="128">
        <v>3</v>
      </c>
      <c r="B30" s="136">
        <v>7.5</v>
      </c>
      <c r="C30" s="137">
        <v>1.22</v>
      </c>
      <c r="D30" s="92"/>
      <c r="E30" s="92"/>
      <c r="F30" s="92"/>
      <c r="G30" s="92"/>
      <c r="H30" s="92"/>
      <c r="I30" s="92"/>
      <c r="J30" s="92"/>
    </row>
    <row r="31" spans="1:12" x14ac:dyDescent="0.45">
      <c r="A31" s="96"/>
      <c r="B31" s="97"/>
      <c r="C31" s="98"/>
      <c r="D31" s="92"/>
      <c r="E31" s="92"/>
      <c r="F31" s="92"/>
      <c r="G31" s="92"/>
      <c r="H31" s="92"/>
      <c r="I31" s="92"/>
      <c r="J31" s="92"/>
    </row>
    <row r="32" spans="1:12" x14ac:dyDescent="0.45">
      <c r="A32" s="99"/>
      <c r="B32" s="129" t="s">
        <v>50</v>
      </c>
      <c r="C32" s="130" t="s">
        <v>51</v>
      </c>
      <c r="D32" s="92"/>
      <c r="E32" s="92"/>
      <c r="F32" s="92"/>
      <c r="G32" s="92"/>
      <c r="H32" s="92"/>
      <c r="I32" s="92"/>
      <c r="J32" s="92"/>
    </row>
    <row r="33" spans="1:10" x14ac:dyDescent="0.45">
      <c r="A33" s="131">
        <v>0</v>
      </c>
      <c r="B33" s="138">
        <f>C28</f>
        <v>4.97</v>
      </c>
      <c r="C33" s="139">
        <f>B28</f>
        <v>2.5</v>
      </c>
      <c r="D33" s="92"/>
      <c r="E33" s="92"/>
      <c r="F33" s="92"/>
      <c r="G33" s="92"/>
      <c r="H33" s="92"/>
      <c r="I33" s="92"/>
      <c r="J33" s="92"/>
    </row>
    <row r="34" spans="1:10" x14ac:dyDescent="0.45">
      <c r="A34" s="145">
        <v>1</v>
      </c>
      <c r="B34" s="134">
        <f>C29</f>
        <v>2.4700000000000002</v>
      </c>
      <c r="C34" s="140">
        <f>B29</f>
        <v>5</v>
      </c>
      <c r="D34" s="92"/>
      <c r="E34" s="92"/>
      <c r="F34" s="92"/>
      <c r="G34" s="92"/>
      <c r="H34" s="92"/>
      <c r="I34" s="92"/>
      <c r="J34" s="92"/>
    </row>
    <row r="35" spans="1:10" x14ac:dyDescent="0.45">
      <c r="A35" s="132">
        <v>2</v>
      </c>
      <c r="B35" s="141">
        <f>C30</f>
        <v>1.22</v>
      </c>
      <c r="C35" s="142">
        <f>B30</f>
        <v>7.5</v>
      </c>
      <c r="D35" s="92"/>
      <c r="E35" s="92"/>
      <c r="F35" s="92"/>
      <c r="G35" s="92"/>
      <c r="H35" s="92"/>
      <c r="I35" s="92"/>
      <c r="J35" s="92"/>
    </row>
    <row r="36" spans="1:10" x14ac:dyDescent="0.45">
      <c r="A36" s="96"/>
      <c r="B36" s="97"/>
      <c r="C36" s="98"/>
      <c r="D36" s="92"/>
      <c r="E36" s="92"/>
      <c r="F36" s="92"/>
      <c r="G36" s="92"/>
      <c r="H36" s="92"/>
      <c r="I36" s="92"/>
      <c r="J36" s="92"/>
    </row>
    <row r="37" spans="1:10" x14ac:dyDescent="0.45">
      <c r="A37" s="131" t="s">
        <v>52</v>
      </c>
      <c r="B37" s="119">
        <f>(F23-B34)*(F23-B35)/((B33-B34)*(B33-B35))</f>
        <v>-3.9104000000000021E-2</v>
      </c>
      <c r="C37" s="98"/>
      <c r="D37" s="92"/>
      <c r="E37" s="92"/>
      <c r="F37" s="92"/>
      <c r="G37" s="92"/>
      <c r="H37" s="92"/>
      <c r="I37" s="92"/>
      <c r="J37" s="92"/>
    </row>
    <row r="38" spans="1:10" x14ac:dyDescent="0.45">
      <c r="A38" s="112" t="s">
        <v>53</v>
      </c>
      <c r="B38" s="116">
        <f>(F23-B33)*(F23-B35)/((B34-B33)*(B34-B35))</f>
        <v>0.74131199999999997</v>
      </c>
      <c r="C38" s="101"/>
      <c r="D38" s="92"/>
      <c r="E38" s="92"/>
      <c r="F38" s="92"/>
      <c r="G38" s="92"/>
      <c r="H38" s="92"/>
      <c r="I38" s="92"/>
      <c r="J38" s="92"/>
    </row>
    <row r="39" spans="1:10" x14ac:dyDescent="0.45">
      <c r="A39" s="110" t="s">
        <v>54</v>
      </c>
      <c r="B39" s="115">
        <f>(F23-B33)*(F23-B34)/((B35-B33)*(B35-B34))</f>
        <v>0.297792</v>
      </c>
      <c r="C39" s="92"/>
      <c r="D39" s="92"/>
      <c r="E39" s="92"/>
      <c r="F39" s="92"/>
      <c r="G39" s="92"/>
      <c r="H39" s="92"/>
      <c r="I39" s="92"/>
      <c r="J39" s="92"/>
    </row>
    <row r="40" spans="1:10" x14ac:dyDescent="0.45">
      <c r="A40" s="113" t="s">
        <v>55</v>
      </c>
      <c r="B40" s="133">
        <f>B37+B38+B39</f>
        <v>1</v>
      </c>
      <c r="C40" s="92"/>
      <c r="D40" s="92"/>
      <c r="E40" s="92"/>
      <c r="F40" s="92"/>
      <c r="G40" s="92"/>
      <c r="H40" s="92"/>
      <c r="I40" s="92"/>
      <c r="J40" s="92"/>
    </row>
    <row r="41" spans="1:10" x14ac:dyDescent="0.45">
      <c r="A41" s="92"/>
      <c r="B41" s="97"/>
      <c r="C41" s="92"/>
      <c r="D41" s="92"/>
      <c r="E41" s="92"/>
      <c r="F41" s="92"/>
      <c r="G41" s="92"/>
      <c r="H41" s="92"/>
      <c r="I41" s="92"/>
      <c r="J41" s="92"/>
    </row>
    <row r="42" spans="1:10" x14ac:dyDescent="0.45">
      <c r="A42" s="29" t="s">
        <v>104</v>
      </c>
      <c r="B42" s="122">
        <f>C33*B37+C34*B38+C35*B39</f>
        <v>5.8422399999999994</v>
      </c>
      <c r="C42" s="92"/>
      <c r="D42" s="92"/>
      <c r="E42" s="92"/>
      <c r="F42" s="92"/>
      <c r="G42" s="92"/>
      <c r="H42" s="92"/>
      <c r="I42" s="92"/>
      <c r="J42" s="92"/>
    </row>
    <row r="43" spans="1:10" x14ac:dyDescent="0.45">
      <c r="A43" s="92" t="s">
        <v>105</v>
      </c>
      <c r="B43" s="97"/>
      <c r="C43" s="92"/>
      <c r="D43" s="92"/>
      <c r="E43" s="92"/>
      <c r="F43" s="92"/>
      <c r="G43" s="92"/>
      <c r="H43" s="92"/>
      <c r="I43" s="92"/>
      <c r="J43" s="92"/>
    </row>
    <row r="44" spans="1:10" x14ac:dyDescent="0.45">
      <c r="A44" s="92"/>
      <c r="B44" s="97"/>
      <c r="C44" s="92"/>
      <c r="D44" s="92"/>
      <c r="E44" s="92"/>
      <c r="F44" s="92"/>
      <c r="G44" s="92"/>
      <c r="H44" s="92"/>
      <c r="I44" s="92"/>
      <c r="J44" s="92"/>
    </row>
    <row r="45" spans="1:10" x14ac:dyDescent="0.45">
      <c r="A45" s="92"/>
      <c r="B45" s="97"/>
      <c r="C45" s="92"/>
      <c r="D45" s="92"/>
      <c r="E45" s="92"/>
      <c r="F45" s="92"/>
      <c r="G45" s="92"/>
      <c r="H45" s="92"/>
      <c r="I45" s="92"/>
      <c r="J45" s="92"/>
    </row>
    <row r="46" spans="1:10" x14ac:dyDescent="0.45">
      <c r="A46" s="92"/>
      <c r="B46" s="97"/>
      <c r="C46" s="92"/>
      <c r="D46" s="92"/>
      <c r="E46" s="92"/>
      <c r="F46" s="92"/>
      <c r="G46" s="92"/>
      <c r="H46" s="92"/>
      <c r="I46" s="92"/>
      <c r="J46" s="92"/>
    </row>
    <row r="47" spans="1:10" x14ac:dyDescent="0.45">
      <c r="A47" s="105"/>
      <c r="B47" s="103"/>
      <c r="C47" s="92"/>
      <c r="D47" s="92"/>
      <c r="E47" s="92"/>
      <c r="F47" s="92"/>
      <c r="G47" s="92"/>
      <c r="H47" s="92"/>
      <c r="I47" s="92"/>
      <c r="J47" s="92"/>
    </row>
    <row r="48" spans="1:10" x14ac:dyDescent="0.45">
      <c r="A48" s="92"/>
      <c r="B48" s="92"/>
      <c r="C48" s="92"/>
      <c r="D48" s="92"/>
      <c r="E48" s="92"/>
      <c r="F48" s="92"/>
      <c r="G48" s="92"/>
      <c r="H48" s="92"/>
      <c r="I48" s="92"/>
      <c r="J48" s="92"/>
    </row>
    <row r="49" spans="1:10" ht="15.75" x14ac:dyDescent="0.5">
      <c r="A49" s="124"/>
      <c r="B49" s="92"/>
      <c r="C49" s="92"/>
      <c r="D49" s="92"/>
      <c r="E49" s="92"/>
      <c r="F49" s="92"/>
      <c r="G49" s="92"/>
      <c r="H49" s="92"/>
      <c r="I49" s="92"/>
      <c r="J49" s="92"/>
    </row>
    <row r="50" spans="1:10" x14ac:dyDescent="0.45">
      <c r="A50" s="92"/>
      <c r="B50" s="92"/>
      <c r="C50" s="92"/>
      <c r="D50" s="92"/>
      <c r="E50" s="92"/>
      <c r="F50" s="92"/>
      <c r="G50" s="92"/>
      <c r="H50" s="92"/>
      <c r="I50" s="92"/>
      <c r="J50" s="9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Ejercicio 1</vt:lpstr>
      <vt:lpstr>Ejercicio 2</vt:lpstr>
      <vt:lpstr>Ejercicio 3</vt:lpstr>
      <vt:lpstr>Ejercicio 4</vt:lpstr>
      <vt:lpstr>Ejercicio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YASEN CUTIPA MAYHUA</dc:creator>
  <cp:lastModifiedBy>YASEN CUTIPA MAYHUA</cp:lastModifiedBy>
  <dcterms:created xsi:type="dcterms:W3CDTF">2026-10-19T13:15:58Z</dcterms:created>
  <dcterms:modified xsi:type="dcterms:W3CDTF">2026-10-19T15:57:42Z</dcterms:modified>
</cp:coreProperties>
</file>