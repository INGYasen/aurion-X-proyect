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Ejercicio_1" sheetId="2" state="visible" r:id="rId2"/>
    <sheet name="Ejercicio_2" sheetId="3" state="visible" r:id="rId3"/>
    <sheet name="Ejercicio_3" sheetId="4" state="visible" r:id="rId4"/>
    <sheet name="Ejercicio_4" sheetId="5" state="visible" r:id="rId5"/>
    <sheet name="Ejercicio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sz val="10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1" fontId="0" fillId="0" borderId="1" pivotButton="0" quotePrefix="0" xfId="0"/>
    <xf numFmtId="11" fontId="0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4953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FACULTAD DE INGENIERÍA Y ARQUITECTURA</t>
        </is>
      </c>
    </row>
    <row r="2">
      <c r="A2" s="2" t="inlineStr">
        <is>
          <t>Simulación entrega U2 — Métodos Numéricos</t>
        </is>
      </c>
    </row>
    <row r="3">
      <c r="A3" s="2" t="inlineStr">
        <is>
          <t>Una hoja por ejercicio | Evidencia Octave incrustada | Prueba Excel ↔ Octave</t>
        </is>
      </c>
    </row>
    <row r="5">
      <c r="A5" s="3" t="inlineStr">
        <is>
          <t>Ejercicios incluidos (simulación tipo examen modelo U2)</t>
        </is>
      </c>
    </row>
    <row r="7">
      <c r="A7" s="4" t="inlineStr">
        <is>
          <t>#</t>
        </is>
      </c>
      <c r="B7" s="4" t="inlineStr">
        <is>
          <t>Tema</t>
        </is>
      </c>
      <c r="C7" s="4" t="inlineStr">
        <is>
          <t>Hoja Excel</t>
        </is>
      </c>
      <c r="D7" s="4" t="inlineStr">
        <is>
          <t>Detectado en PDF modelo</t>
        </is>
      </c>
    </row>
    <row r="8">
      <c r="A8" s="5" t="inlineStr">
        <is>
          <t>1</t>
        </is>
      </c>
      <c r="B8" s="5" t="inlineStr">
        <is>
          <t>Bisección (raíz)</t>
        </is>
      </c>
      <c r="C8" s="5" t="inlineStr">
        <is>
          <t>Ejercicio_1</t>
        </is>
      </c>
      <c r="D8" s="5" t="inlineStr">
        <is>
          <t>—</t>
        </is>
      </c>
    </row>
    <row r="9">
      <c r="A9" s="5" t="inlineStr">
        <is>
          <t>2</t>
        </is>
      </c>
      <c r="B9" s="5" t="inlineStr">
        <is>
          <t>Newton-Raphson</t>
        </is>
      </c>
      <c r="C9" s="5" t="inlineStr">
        <is>
          <t>Ejercicio_2</t>
        </is>
      </c>
      <c r="D9" s="5" t="inlineStr">
        <is>
          <t>—</t>
        </is>
      </c>
    </row>
    <row r="10">
      <c r="A10" s="5" t="inlineStr">
        <is>
          <t>3</t>
        </is>
      </c>
      <c r="B10" s="5" t="inlineStr">
        <is>
          <t>Gauss 3×3</t>
        </is>
      </c>
      <c r="C10" s="5" t="inlineStr">
        <is>
          <t>Ejercicio_3</t>
        </is>
      </c>
      <c r="D10" s="5" t="inlineStr">
        <is>
          <t>—</t>
        </is>
      </c>
    </row>
    <row r="11">
      <c r="A11" s="5" t="inlineStr">
        <is>
          <t>4</t>
        </is>
      </c>
      <c r="B11" s="5" t="inlineStr">
        <is>
          <t>Parábola mínimos cuadrados</t>
        </is>
      </c>
      <c r="C11" s="5" t="inlineStr">
        <is>
          <t>Ejercicio_4</t>
        </is>
      </c>
      <c r="D11" s="5" t="inlineStr">
        <is>
          <t>Sí (enunciado U2)</t>
        </is>
      </c>
    </row>
    <row r="12">
      <c r="A12" s="5" t="inlineStr">
        <is>
          <t>5</t>
        </is>
      </c>
      <c r="B12" s="5" t="inlineStr">
        <is>
          <t>Integración (trapecio)</t>
        </is>
      </c>
      <c r="C12" s="5" t="inlineStr">
        <is>
          <t>Ejercicio_5</t>
        </is>
      </c>
      <c r="D12" s="5" t="inlineStr">
        <is>
          <t>Sí (enunciado U2)</t>
        </is>
      </c>
    </row>
    <row r="15">
      <c r="A15" s="3" t="inlineStr">
        <is>
          <t>Regenerar:</t>
        </is>
      </c>
      <c r="B15" t="inlineStr">
        <is>
          <t>bash octave/ejecutar_todos.sh &amp;&amp; python3 scripts/generar_entrega_simulacion.py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FACULTAD DE INGENIERÍA Y ARQUITECTURA</t>
        </is>
      </c>
    </row>
    <row r="2">
      <c r="A2" s="2" t="inlineStr">
        <is>
          <t>Simulación entrega U2 — Métodos Numéricos</t>
        </is>
      </c>
    </row>
    <row r="3">
      <c r="A3" s="2" t="inlineStr">
        <is>
          <t>Una hoja por ejercicio | Evidencia Octave incrustada | Prueba Excel ↔ Octave</t>
        </is>
      </c>
    </row>
    <row r="5">
      <c r="A5" s="3" t="inlineStr">
        <is>
          <t>Ejercicio 1 — Bisección</t>
        </is>
      </c>
    </row>
    <row r="6">
      <c r="A6" t="inlineStr">
        <is>
          <t>f(x)=x³−x−2 en [1, 2], ε=10⁻⁶ (todo el ejercicio en esta hoja).</t>
        </is>
      </c>
    </row>
    <row r="8">
      <c r="A8" s="3" t="inlineStr">
        <is>
          <t>Raíz Octave (referencia):</t>
        </is>
      </c>
      <c r="B8" s="6" t="n">
        <v>1.5213804245</v>
      </c>
    </row>
    <row r="10">
      <c r="A10" s="4" t="inlineStr">
        <is>
          <t>i</t>
        </is>
      </c>
      <c r="B10" s="4" t="inlineStr">
        <is>
          <t>a</t>
        </is>
      </c>
      <c r="C10" s="4" t="inlineStr">
        <is>
          <t>b</t>
        </is>
      </c>
      <c r="D10" s="4" t="inlineStr">
        <is>
          <t>c</t>
        </is>
      </c>
      <c r="E10" s="4" t="inlineStr">
        <is>
          <t>f(c)</t>
        </is>
      </c>
      <c r="F10" s="4" t="inlineStr">
        <is>
          <t>error</t>
        </is>
      </c>
    </row>
    <row r="11">
      <c r="A11" s="5" t="n">
        <v>0</v>
      </c>
      <c r="B11" s="7" t="n">
        <v>1</v>
      </c>
      <c r="C11" s="7" t="n">
        <v>2</v>
      </c>
      <c r="D11" s="7" t="n">
        <v>1.5</v>
      </c>
      <c r="E11" s="7" t="n">
        <v>-0.125</v>
      </c>
      <c r="F11" s="8" t="n">
        <v>0.5</v>
      </c>
    </row>
    <row r="12">
      <c r="A12" s="5" t="n">
        <v>1</v>
      </c>
      <c r="B12" s="7" t="n">
        <v>1.5</v>
      </c>
      <c r="C12" s="7" t="n">
        <v>2</v>
      </c>
      <c r="D12" s="7" t="n">
        <v>1.75</v>
      </c>
      <c r="E12" s="7" t="n">
        <v>1.609375</v>
      </c>
      <c r="F12" s="8" t="n">
        <v>0.25</v>
      </c>
    </row>
    <row r="13">
      <c r="A13" s="5" t="n">
        <v>2</v>
      </c>
      <c r="B13" s="7" t="n">
        <v>1.5</v>
      </c>
      <c r="C13" s="7" t="n">
        <v>1.75</v>
      </c>
      <c r="D13" s="7" t="n">
        <v>1.625</v>
      </c>
      <c r="E13" s="7" t="n">
        <v>0.666015625</v>
      </c>
      <c r="F13" s="8" t="n">
        <v>0.125</v>
      </c>
    </row>
    <row r="14">
      <c r="A14" s="5" t="n">
        <v>3</v>
      </c>
      <c r="B14" s="7" t="n">
        <v>1.5</v>
      </c>
      <c r="C14" s="7" t="n">
        <v>1.625</v>
      </c>
      <c r="D14" s="7" t="n">
        <v>1.5625</v>
      </c>
      <c r="E14" s="7" t="n">
        <v>0.252197265625</v>
      </c>
      <c r="F14" s="8" t="n">
        <v>0.0625</v>
      </c>
    </row>
    <row r="15">
      <c r="A15" s="5" t="n">
        <v>4</v>
      </c>
      <c r="B15" s="7" t="n">
        <v>1.5</v>
      </c>
      <c r="C15" s="7" t="n">
        <v>1.5625</v>
      </c>
      <c r="D15" s="7" t="n">
        <v>1.53125</v>
      </c>
      <c r="E15" s="7" t="n">
        <v>0.05911254882812</v>
      </c>
      <c r="F15" s="8" t="n">
        <v>0.03125</v>
      </c>
    </row>
    <row r="16">
      <c r="A16" s="5" t="n">
        <v>5</v>
      </c>
      <c r="B16" s="7" t="n">
        <v>1.5</v>
      </c>
      <c r="C16" s="7" t="n">
        <v>1.53125</v>
      </c>
      <c r="D16" s="7" t="n">
        <v>1.515625</v>
      </c>
      <c r="E16" s="7" t="n">
        <v>-0.03405380249023</v>
      </c>
      <c r="F16" s="8" t="n">
        <v>0.015625</v>
      </c>
    </row>
    <row r="17">
      <c r="A17" s="5" t="n">
        <v>6</v>
      </c>
      <c r="B17" s="7" t="n">
        <v>1.515625</v>
      </c>
      <c r="C17" s="7" t="n">
        <v>1.53125</v>
      </c>
      <c r="D17" s="7" t="n">
        <v>1.5234375</v>
      </c>
      <c r="E17" s="7" t="n">
        <v>0.0122504234314</v>
      </c>
      <c r="F17" s="8" t="n">
        <v>0.0078125</v>
      </c>
    </row>
    <row r="18">
      <c r="A18" s="5" t="n">
        <v>7</v>
      </c>
      <c r="B18" s="7" t="n">
        <v>1.515625</v>
      </c>
      <c r="C18" s="7" t="n">
        <v>1.5234375</v>
      </c>
      <c r="D18" s="7" t="n">
        <v>1.51953125</v>
      </c>
      <c r="E18" s="7" t="n">
        <v>-0.01097124814987</v>
      </c>
      <c r="F18" s="8" t="n">
        <v>0.00390625</v>
      </c>
    </row>
    <row r="19">
      <c r="A19" s="5" t="n">
        <v>8</v>
      </c>
      <c r="B19" s="7" t="n">
        <v>1.51953125</v>
      </c>
      <c r="C19" s="7" t="n">
        <v>1.5234375</v>
      </c>
      <c r="D19" s="7" t="n">
        <v>1.521484375</v>
      </c>
      <c r="E19" s="7" t="n">
        <v>0.0006221756339073</v>
      </c>
      <c r="F19" s="8" t="n">
        <v>0.001953125</v>
      </c>
    </row>
    <row r="20">
      <c r="A20" s="5" t="n">
        <v>9</v>
      </c>
      <c r="B20" s="7" t="n">
        <v>1.51953125</v>
      </c>
      <c r="C20" s="7" t="n">
        <v>1.521484375</v>
      </c>
      <c r="D20" s="7" t="n">
        <v>1.5205078125</v>
      </c>
      <c r="E20" s="7" t="n">
        <v>-0.005178886465728</v>
      </c>
      <c r="F20" s="8" t="n">
        <v>0.0009765625</v>
      </c>
    </row>
    <row r="21">
      <c r="A21" s="5" t="n">
        <v>17</v>
      </c>
      <c r="B21" s="7" t="n">
        <v>1.521377563477</v>
      </c>
      <c r="C21" s="7" t="n">
        <v>1.521385192871</v>
      </c>
      <c r="D21" s="7" t="n">
        <v>1.521381378174</v>
      </c>
      <c r="E21" s="7" t="n">
        <v>9.934278368817001e-06</v>
      </c>
      <c r="F21" s="8" t="n">
        <v>3.814697265625e-06</v>
      </c>
    </row>
    <row r="22">
      <c r="A22" s="5" t="n">
        <v>18</v>
      </c>
      <c r="B22" s="7" t="n">
        <v>1.521377563477</v>
      </c>
      <c r="C22" s="7" t="n">
        <v>1.521381378174</v>
      </c>
      <c r="D22" s="7" t="n">
        <v>1.521379470825</v>
      </c>
      <c r="E22" s="7" t="n">
        <v>-1.402611257362e-06</v>
      </c>
      <c r="F22" s="8" t="n">
        <v>1.907348632812e-06</v>
      </c>
    </row>
    <row r="23">
      <c r="A23" s="5" t="n">
        <v>19</v>
      </c>
      <c r="B23" s="7" t="n">
        <v>1.521379470825</v>
      </c>
      <c r="C23" s="7" t="n">
        <v>1.521381378174</v>
      </c>
      <c r="D23" s="7" t="n">
        <v>1.5213804245</v>
      </c>
      <c r="E23" s="7" t="n">
        <v>4.265829404826e-06</v>
      </c>
      <c r="F23" s="8" t="n">
        <v>9.536743164062e-07</v>
      </c>
    </row>
    <row r="24">
      <c r="A24" t="inlineStr">
        <is>
          <t>(Tabla: 20 filas en Octave; se muestran 10 + 3 finales)</t>
        </is>
      </c>
    </row>
    <row r="26">
      <c r="A26" s="3" t="inlineStr">
        <is>
          <t>c final (última fila tabla):</t>
        </is>
      </c>
      <c r="B26">
        <f>D25</f>
        <v/>
      </c>
    </row>
    <row r="27">
      <c r="A27" s="3" t="inlineStr">
        <is>
          <t>Prueba |c_tabla − c_Octave|:</t>
        </is>
      </c>
      <c r="B27">
        <f>ABS(B26-B8)</f>
        <v/>
      </c>
      <c r="C27" t="inlineStr">
        <is>
          <t>Estado:</t>
        </is>
      </c>
      <c r="D27">
        <f>IF(B27&lt;1E-8,"OK","Revisar")</f>
        <v/>
      </c>
    </row>
    <row r="29">
      <c r="A29" s="3" t="inlineStr">
        <is>
          <t>Evidencia Octave (imagen):</t>
        </is>
      </c>
    </row>
  </sheetData>
  <mergeCells count="4">
    <mergeCell ref="A1:I1"/>
    <mergeCell ref="A3:I3"/>
    <mergeCell ref="A2:I2"/>
    <mergeCell ref="A6:I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FACULTAD DE INGENIERÍA Y ARQUITECTURA</t>
        </is>
      </c>
    </row>
    <row r="2">
      <c r="A2" s="2" t="inlineStr">
        <is>
          <t>Simulación entrega U2 — Métodos Numéricos</t>
        </is>
      </c>
    </row>
    <row r="3">
      <c r="A3" s="2" t="inlineStr">
        <is>
          <t>Una hoja por ejercicio | Evidencia Octave incrustada | Prueba Excel ↔ Octave</t>
        </is>
      </c>
    </row>
    <row r="5">
      <c r="A5" s="3" t="inlineStr">
        <is>
          <t>Ejercicio 2 — Newton-Raphson</t>
        </is>
      </c>
    </row>
    <row r="6">
      <c r="A6" t="inlineStr">
        <is>
          <t>f(x)=cos(x)−x, x₀=0.8, parar cuando |f(x)|&lt;10⁻⁸.</t>
        </is>
      </c>
    </row>
    <row r="8">
      <c r="A8" s="3" t="inlineStr">
        <is>
          <t>Raíz Octave:</t>
        </is>
      </c>
      <c r="B8" s="6" t="n">
        <v>0.739085133215</v>
      </c>
    </row>
    <row r="10">
      <c r="A10" s="4" t="inlineStr">
        <is>
          <t>i</t>
        </is>
      </c>
      <c r="B10" s="4" t="inlineStr">
        <is>
          <t>x</t>
        </is>
      </c>
      <c r="C10" s="4" t="inlineStr">
        <is>
          <t>f(x)</t>
        </is>
      </c>
      <c r="D10" s="4" t="inlineStr">
        <is>
          <t>f'(x)</t>
        </is>
      </c>
      <c r="E10" s="4" t="inlineStr">
        <is>
          <t>error</t>
        </is>
      </c>
    </row>
    <row r="11">
      <c r="A11" s="5" t="n">
        <v>0</v>
      </c>
      <c r="B11" s="7" t="n">
        <v>0.8</v>
      </c>
      <c r="C11" s="8" t="n">
        <v>-0.1032932906528</v>
      </c>
      <c r="D11" s="8" t="n">
        <v>-1.7173560909</v>
      </c>
      <c r="E11" s="8" t="n">
        <v>0.1032932906528</v>
      </c>
    </row>
    <row r="12">
      <c r="A12" s="5" t="n">
        <v>1</v>
      </c>
      <c r="B12" s="7" t="n">
        <v>0.73985330637</v>
      </c>
      <c r="C12" s="8" t="n">
        <v>-0.001285841845016</v>
      </c>
      <c r="D12" s="8" t="n">
        <v>-1.67417957574</v>
      </c>
      <c r="E12" s="8" t="n">
        <v>0.001285841845016</v>
      </c>
    </row>
    <row r="13">
      <c r="A13" s="5" t="n">
        <v>2</v>
      </c>
      <c r="B13" s="7" t="n">
        <v>0.739085263405</v>
      </c>
      <c r="C13" s="8" t="n">
        <v>-2.178876759018e-07</v>
      </c>
      <c r="D13" s="8" t="n">
        <v>-1.673612125405</v>
      </c>
      <c r="E13" s="8" t="n">
        <v>2.178876759018e-07</v>
      </c>
    </row>
    <row r="14">
      <c r="A14" s="5" t="n">
        <v>3</v>
      </c>
      <c r="B14" s="7" t="n">
        <v>0.739085133215</v>
      </c>
      <c r="C14" s="8" t="n">
        <v>-6.217248937901e-15</v>
      </c>
      <c r="D14" s="8" t="n">
        <v>-1.673612029183</v>
      </c>
      <c r="E14" s="8" t="n">
        <v>6.217248937901e-15</v>
      </c>
    </row>
    <row r="16">
      <c r="A16" s="3" t="inlineStr">
        <is>
          <t>x final tabla:</t>
        </is>
      </c>
      <c r="B16">
        <f>B15</f>
        <v/>
      </c>
    </row>
    <row r="17">
      <c r="A17" s="3" t="inlineStr">
        <is>
          <t>Prueba |x_tabla − x_Octave|:</t>
        </is>
      </c>
      <c r="B17">
        <f>ABS(B16-B8)</f>
        <v/>
      </c>
      <c r="C17" t="inlineStr">
        <is>
          <t>Estado:</t>
        </is>
      </c>
      <c r="D17">
        <f>IF(B17&lt;1E-10,"OK","Revisar")</f>
        <v/>
      </c>
    </row>
    <row r="19">
      <c r="A19" s="3" t="inlineStr">
        <is>
          <t>Evidencia Octave:</t>
        </is>
      </c>
    </row>
  </sheetData>
  <mergeCells count="4">
    <mergeCell ref="A1:I1"/>
    <mergeCell ref="A3:I3"/>
    <mergeCell ref="A2:I2"/>
    <mergeCell ref="A6:I6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FACULTAD DE INGENIERÍA Y ARQUITECTURA</t>
        </is>
      </c>
    </row>
    <row r="2">
      <c r="A2" s="2" t="inlineStr">
        <is>
          <t>Simulación entrega U2 — Métodos Numéricos</t>
        </is>
      </c>
    </row>
    <row r="3">
      <c r="A3" s="2" t="inlineStr">
        <is>
          <t>Una hoja por ejercicio | Evidencia Octave incrustada | Prueba Excel ↔ Octave</t>
        </is>
      </c>
    </row>
    <row r="5">
      <c r="A5" s="3" t="inlineStr">
        <is>
          <t>Ejercicio 3 — Eliminación gaussiana</t>
        </is>
      </c>
    </row>
    <row r="6">
      <c r="A6" t="inlineStr">
        <is>
          <t>Sistema 3×3 (matriz en script Octave).</t>
        </is>
      </c>
    </row>
    <row r="8">
      <c r="A8" s="4" t="inlineStr">
        <is>
          <t>x₁</t>
        </is>
      </c>
      <c r="B8" s="4" t="inlineStr">
        <is>
          <t>x₂</t>
        </is>
      </c>
      <c r="C8" s="4" t="inlineStr">
        <is>
          <t>x₃</t>
        </is>
      </c>
    </row>
    <row r="9">
      <c r="A9" s="7" t="n">
        <v>1</v>
      </c>
      <c r="B9" s="7" t="n">
        <v>-2</v>
      </c>
      <c r="C9" s="7" t="n">
        <v>-2</v>
      </c>
    </row>
    <row r="11">
      <c r="A11" s="3" t="inlineStr">
        <is>
          <t>||Ax−b|| (Octave):</t>
        </is>
      </c>
      <c r="B11" s="9" t="n">
        <v>1.844441013902e-15</v>
      </c>
      <c r="C11" t="inlineStr">
        <is>
          <t>Estado:</t>
        </is>
      </c>
      <c r="D11" t="inlineStr">
        <is>
          <t>OK</t>
        </is>
      </c>
    </row>
    <row r="13">
      <c r="A13" s="3" t="inlineStr">
        <is>
          <t>Evidencia Octave:</t>
        </is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FACULTAD DE INGENIERÍA Y ARQUITECTURA</t>
        </is>
      </c>
    </row>
    <row r="2">
      <c r="A2" s="2" t="inlineStr">
        <is>
          <t>Simulación entrega U2 — Métodos Numéricos</t>
        </is>
      </c>
    </row>
    <row r="3">
      <c r="A3" s="2" t="inlineStr">
        <is>
          <t>Una hoja por ejercicio | Evidencia Octave incrustada | Prueba Excel ↔ Octave</t>
        </is>
      </c>
    </row>
    <row r="5">
      <c r="A5" s="3" t="inlineStr">
        <is>
          <t>Ejercicio 4 — Parábola por mínimos cuadrados</t>
        </is>
      </c>
    </row>
    <row r="6">
      <c r="A6" t="inlineStr">
        <is>
          <t>Emplear ecuación parabólica y = ax²+bx+c (como examen modelo U2).</t>
        </is>
      </c>
    </row>
    <row r="8">
      <c r="A8" s="3" t="inlineStr">
        <is>
          <t>Coeficientes Octave → celdas Excel:</t>
        </is>
      </c>
    </row>
    <row r="9">
      <c r="A9" t="inlineStr">
        <is>
          <t>a</t>
        </is>
      </c>
      <c r="B9" s="6" t="n">
        <v>1.8785714286</v>
      </c>
      <c r="C9" t="inlineStr">
        <is>
          <t>b</t>
        </is>
      </c>
      <c r="D9" s="6" t="n">
        <v>-5.2814285714</v>
      </c>
      <c r="E9" t="inlineStr">
        <is>
          <t>c</t>
        </is>
      </c>
      <c r="F9" s="6" t="n">
        <v>6</v>
      </c>
    </row>
    <row r="11">
      <c r="A11" s="4" t="inlineStr">
        <is>
          <t>i</t>
        </is>
      </c>
      <c r="B11" s="4" t="inlineStr">
        <is>
          <t>xᵢ</t>
        </is>
      </c>
      <c r="C11" s="4" t="inlineStr">
        <is>
          <t>yᵢ</t>
        </is>
      </c>
      <c r="D11" s="4" t="inlineStr">
        <is>
          <t>ŷ Octave</t>
        </is>
      </c>
      <c r="E11" s="4" t="inlineStr">
        <is>
          <t>ŷ Excel</t>
        </is>
      </c>
      <c r="F11" s="4" t="inlineStr">
        <is>
          <t>Δ</t>
        </is>
      </c>
    </row>
    <row r="12">
      <c r="A12" s="5" t="n">
        <v>1</v>
      </c>
      <c r="B12" s="5" t="n">
        <v>1</v>
      </c>
      <c r="C12" s="5" t="n">
        <v>2.1</v>
      </c>
      <c r="D12" s="5" t="n">
        <v>2.5971</v>
      </c>
      <c r="E12" s="10">
        <f>$B$9*B12^2+$D$9*B12+$F$9</f>
        <v/>
      </c>
      <c r="F12" s="8">
        <f>ABS(D12-E12)</f>
        <v/>
      </c>
    </row>
    <row r="13">
      <c r="A13" s="5" t="n">
        <v>2</v>
      </c>
      <c r="B13" s="5" t="n">
        <v>2</v>
      </c>
      <c r="C13" s="5" t="n">
        <v>3.9</v>
      </c>
      <c r="D13" s="5" t="n">
        <v>2.9514</v>
      </c>
      <c r="E13" s="10">
        <f>$B$9*B13^2+$D$9*B13+$F$9</f>
        <v/>
      </c>
      <c r="F13" s="8">
        <f>ABS(D13-E13)</f>
        <v/>
      </c>
    </row>
    <row r="14">
      <c r="A14" s="5" t="n">
        <v>3</v>
      </c>
      <c r="B14" s="5" t="n">
        <v>3</v>
      </c>
      <c r="C14" s="5" t="n">
        <v>7.2</v>
      </c>
      <c r="D14" s="5" t="n">
        <v>7.0629</v>
      </c>
      <c r="E14" s="10">
        <f>$B$9*B14^2+$D$9*B14+$F$9</f>
        <v/>
      </c>
      <c r="F14" s="8">
        <f>ABS(D14-E14)</f>
        <v/>
      </c>
    </row>
    <row r="15">
      <c r="A15" s="5" t="n">
        <v>4</v>
      </c>
      <c r="B15" s="5" t="n">
        <v>4</v>
      </c>
      <c r="C15" s="5" t="n">
        <v>13.8</v>
      </c>
      <c r="D15" s="5" t="n">
        <v>14.9314</v>
      </c>
      <c r="E15" s="10">
        <f>$B$9*B15^2+$D$9*B15+$F$9</f>
        <v/>
      </c>
      <c r="F15" s="8">
        <f>ABS(D15-E15)</f>
        <v/>
      </c>
    </row>
    <row r="16">
      <c r="A16" s="5" t="n">
        <v>5</v>
      </c>
      <c r="B16" s="5" t="n">
        <v>5</v>
      </c>
      <c r="C16" s="5" t="n">
        <v>27.1</v>
      </c>
      <c r="D16" s="5" t="n">
        <v>26.5571</v>
      </c>
      <c r="E16" s="10">
        <f>$B$9*B16^2+$D$9*B16+$F$9</f>
        <v/>
      </c>
      <c r="F16" s="8">
        <f>ABS(D16-E16)</f>
        <v/>
      </c>
    </row>
    <row r="18">
      <c r="A18" s="3" t="inlineStr">
        <is>
          <t>Prueba Σ(y−ŷ)² (datos vs Excel):</t>
        </is>
      </c>
      <c r="B18">
        <f>SUMXMY2(C12:C16,E12:E16)</f>
        <v/>
      </c>
      <c r="C18" t="inlineStr">
        <is>
          <t>Estado:</t>
        </is>
      </c>
      <c r="D18">
        <f>IF(B18&lt;1E-6,"OK","Revisar")</f>
        <v/>
      </c>
    </row>
    <row r="20">
      <c r="A20" s="3" t="inlineStr">
        <is>
          <t>Evidencia Octave (datos + parábola):</t>
        </is>
      </c>
    </row>
  </sheetData>
  <mergeCells count="4">
    <mergeCell ref="A1:I1"/>
    <mergeCell ref="A3:I3"/>
    <mergeCell ref="A2:I2"/>
    <mergeCell ref="A6:I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FACULTAD DE INGENIERÍA Y ARQUITECTURA</t>
        </is>
      </c>
    </row>
    <row r="2">
      <c r="A2" s="2" t="inlineStr">
        <is>
          <t>Simulación entrega U2 — Métodos Numéricos</t>
        </is>
      </c>
    </row>
    <row r="3">
      <c r="A3" s="2" t="inlineStr">
        <is>
          <t>Una hoja por ejercicio | Evidencia Octave incrustada | Prueba Excel ↔ Octave</t>
        </is>
      </c>
    </row>
    <row r="5">
      <c r="A5" s="3" t="inlineStr">
        <is>
          <t>Ejercicio 5 — Integración (trapecio)</t>
        </is>
      </c>
    </row>
    <row r="6">
      <c r="A6" t="inlineStr">
        <is>
          <t>∫₀¹ e^(−x²) dx — refinamiento de n (simulación U2).</t>
        </is>
      </c>
    </row>
    <row r="8">
      <c r="A8" s="4" t="inlineStr">
        <is>
          <t>n</t>
        </is>
      </c>
      <c r="B8" s="4" t="inlineStr">
        <is>
          <t>h</t>
        </is>
      </c>
      <c r="C8" s="4" t="inlineStr">
        <is>
          <t>Integral Octave</t>
        </is>
      </c>
      <c r="D8" s="4" t="inlineStr">
        <is>
          <t>Error vs ref.</t>
        </is>
      </c>
    </row>
    <row r="9">
      <c r="A9" s="5" t="n">
        <v>2</v>
      </c>
      <c r="B9" s="5" t="n">
        <v>0.5</v>
      </c>
      <c r="C9" s="7" t="n">
        <v>0.731370251829</v>
      </c>
      <c r="D9" s="8" t="n">
        <v>0.01545388098386</v>
      </c>
    </row>
    <row r="10">
      <c r="A10" s="5" t="n">
        <v>4</v>
      </c>
      <c r="B10" s="5" t="n">
        <v>0.25</v>
      </c>
      <c r="C10" s="7" t="n">
        <v>0.7429840978</v>
      </c>
      <c r="D10" s="8" t="n">
        <v>0.003840035012046</v>
      </c>
    </row>
    <row r="11">
      <c r="A11" s="5" t="n">
        <v>8</v>
      </c>
      <c r="B11" s="5" t="n">
        <v>0.125</v>
      </c>
      <c r="C11" s="7" t="n">
        <v>0.745865614846</v>
      </c>
      <c r="D11" s="8" t="n">
        <v>0.0009585179667321</v>
      </c>
    </row>
    <row r="12">
      <c r="A12" s="5" t="n">
        <v>16</v>
      </c>
      <c r="B12" s="5" t="n">
        <v>0.0625</v>
      </c>
      <c r="C12" s="7" t="n">
        <v>0.746584596788</v>
      </c>
      <c r="D12" s="8" t="n">
        <v>0.0002395360242055</v>
      </c>
    </row>
    <row r="13">
      <c r="A13" s="5" t="n">
        <v>32</v>
      </c>
      <c r="B13" s="5" t="n">
        <v>0.03125</v>
      </c>
      <c r="C13" s="7" t="n">
        <v>0.746764254652</v>
      </c>
      <c r="D13" s="8" t="n">
        <v>5.987816013298e-05</v>
      </c>
    </row>
    <row r="14">
      <c r="A14" s="5" t="n">
        <v>64</v>
      </c>
      <c r="B14" s="5" t="n">
        <v>0.015625</v>
      </c>
      <c r="C14" s="7" t="n">
        <v>0.746809163638</v>
      </c>
      <c r="D14" s="8" t="n">
        <v>1.49691745992e-05</v>
      </c>
    </row>
    <row r="16">
      <c r="A16" s="3" t="inlineStr">
        <is>
          <t>Referencia Octave:</t>
        </is>
      </c>
      <c r="B16" s="6" t="n">
        <v>0.746824132812</v>
      </c>
      <c r="C16" s="3" t="inlineStr">
        <is>
          <t>Mejor trapecio (n=64):</t>
        </is>
      </c>
      <c r="D16">
        <f>C15</f>
        <v/>
      </c>
    </row>
    <row r="17">
      <c r="A17" s="3" t="inlineStr">
        <is>
          <t>Prueba error final:</t>
        </is>
      </c>
      <c r="B17">
        <f>D16</f>
        <v/>
      </c>
      <c r="C17" t="inlineStr">
        <is>
          <t>Estado:</t>
        </is>
      </c>
      <c r="D17">
        <f>IF(B17&lt;1E-5,"OK","Revisar")</f>
        <v/>
      </c>
    </row>
    <row r="19">
      <c r="A19" s="3" t="inlineStr">
        <is>
          <t>Evidencia Octave:</t>
        </is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2026-10-26T01:14:57Z</dcterms:created>
  <dcterms:modified xsi:type="dcterms:W3CDTF">2026-10-26T01:14:57Z</dcterms:modified>
</cp:coreProperties>
</file>