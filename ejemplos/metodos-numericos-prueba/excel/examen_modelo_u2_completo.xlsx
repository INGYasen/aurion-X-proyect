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Indice" sheetId="1" state="visible" r:id="rId1"/>
    <sheet name="Ej1_No_lineal" sheetId="2" state="visible" r:id="rId2"/>
    <sheet name="Ej2_Jacobi_Seidel" sheetId="3" state="visible" r:id="rId3"/>
    <sheet name="Ej3_Newton_interp" sheetId="4" state="visible" r:id="rId4"/>
    <sheet name="Ej4_Minimos" sheetId="5" state="visible" r:id="rId5"/>
    <sheet name="Ej5_Lagrange" sheetId="6" state="visible" r:id="rId6"/>
  </sheets>
  <definedNames>
    <definedName name="_xlnm.Print_Titles" localSheetId="1">'Ej1_No_lineal'!$1:$2</definedName>
    <definedName name="_xlnm.Print_Titles" localSheetId="2">'Ej2_Jacobi_Seidel'!$1:$2</definedName>
    <definedName name="_xlnm.Print_Titles" localSheetId="3">'Ej3_Newton_interp'!$1:$2</definedName>
    <definedName name="_xlnm.Print_Titles" localSheetId="4">'Ej4_Minimos'!$1:$2</definedName>
    <definedName name="_xlnm.Print_Titles" localSheetId="5">'Ej5_Lagrange'!$1:$2</definedName>
  </definedNames>
  <calcPr calcId="124519" fullCalcOnLoad="1"/>
</workbook>
</file>

<file path=xl/styles.xml><?xml version="1.0" encoding="utf-8"?>
<styleSheet xmlns="http://schemas.openxmlformats.org/spreadsheetml/2006/main">
  <numFmts count="4">
    <numFmt numFmtId="164" formatCode="0.0000000000"/>
    <numFmt numFmtId="165" formatCode="0.000000"/>
    <numFmt numFmtId="166" formatCode="0.0000"/>
    <numFmt numFmtId="167" formatCode="0.000000000"/>
  </numFmts>
  <fonts count="7">
    <font>
      <name val="Calibri"/>
      <family val="2"/>
      <color theme="1"/>
      <sz val="11"/>
      <scheme val="minor"/>
    </font>
    <font>
      <name val="Calibri"/>
      <b val="1"/>
      <color rgb="00FFFFFF"/>
      <sz val="11"/>
    </font>
    <font>
      <name val="Calibri"/>
      <sz val="10"/>
    </font>
    <font>
      <name val="Calibri"/>
      <b val="1"/>
      <color rgb="001F4E79"/>
      <sz val="14"/>
    </font>
    <font>
      <name val="Calibri"/>
      <b val="1"/>
      <sz val="10"/>
    </font>
    <font>
      <name val="Calibri"/>
      <b val="1"/>
      <color rgb="001F4E79"/>
      <sz val="12"/>
    </font>
    <font>
      <name val="Consolas"/>
      <sz val="9"/>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DD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7">
    <xf numFmtId="0" fontId="0" fillId="0" borderId="0" pivotButton="0" quotePrefix="0" xfId="0"/>
    <xf numFmtId="0" fontId="1" fillId="2" borderId="0" applyAlignment="1" pivotButton="0" quotePrefix="0" xfId="0">
      <alignment vertical="center" wrapText="1"/>
    </xf>
    <xf numFmtId="0" fontId="0" fillId="2" borderId="0" applyAlignment="1" pivotButton="0" quotePrefix="0" xfId="0">
      <alignment vertical="center" wrapText="1"/>
    </xf>
    <xf numFmtId="0" fontId="2" fillId="0" borderId="0" applyAlignment="1" pivotButton="0" quotePrefix="0" xfId="0">
      <alignment vertical="center" wrapText="1"/>
    </xf>
    <xf numFmtId="0" fontId="2" fillId="3" borderId="0" applyAlignment="1" pivotButton="0" quotePrefix="0" xfId="0">
      <alignment vertical="center" wrapText="1"/>
    </xf>
    <xf numFmtId="0" fontId="0" fillId="3"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2" fillId="4" borderId="0" applyAlignment="1" pivotButton="0" quotePrefix="0" xfId="0">
      <alignment vertical="center" wrapText="1"/>
    </xf>
    <xf numFmtId="0" fontId="0" fillId="4" borderId="0" pivotButton="0" quotePrefix="0" xfId="0"/>
    <xf numFmtId="0" fontId="3" fillId="5" borderId="0" applyAlignment="1" pivotButton="0" quotePrefix="0" xfId="0">
      <alignment vertical="center" wrapText="1"/>
    </xf>
    <xf numFmtId="0" fontId="0" fillId="5" borderId="0" applyAlignment="1" pivotButton="0" quotePrefix="0" xfId="0">
      <alignment vertical="center" wrapText="1"/>
    </xf>
    <xf numFmtId="0" fontId="4" fillId="5" borderId="0" applyAlignment="1" pivotButton="0" quotePrefix="0" xfId="0">
      <alignment vertical="center" wrapText="1"/>
    </xf>
    <xf numFmtId="0" fontId="5" fillId="3" borderId="0" applyAlignment="1" pivotButton="0" quotePrefix="0" xfId="0">
      <alignment vertical="center" wrapText="1"/>
    </xf>
    <xf numFmtId="0" fontId="0" fillId="3" borderId="0" applyAlignment="1" pivotButton="0" quotePrefix="0" xfId="0">
      <alignment vertical="center" wrapText="1"/>
    </xf>
    <xf numFmtId="0" fontId="4" fillId="0" borderId="0" pivotButton="0" quotePrefix="0" xfId="0"/>
    <xf numFmtId="164" fontId="4" fillId="5" borderId="1" applyAlignment="1" pivotButton="0" quotePrefix="0" xfId="0">
      <alignment vertical="center"/>
    </xf>
    <xf numFmtId="164" fontId="2" fillId="0" borderId="1" applyAlignment="1" pivotButton="0" quotePrefix="0" xfId="0">
      <alignment vertical="center"/>
    </xf>
    <xf numFmtId="165" fontId="2" fillId="0" borderId="1" applyAlignment="1" pivotButton="0" quotePrefix="0" xfId="0">
      <alignment vertical="center"/>
    </xf>
    <xf numFmtId="164" fontId="4" fillId="6" borderId="1" applyAlignment="1" pivotButton="0" quotePrefix="0" xfId="0">
      <alignment vertical="center"/>
    </xf>
    <xf numFmtId="0" fontId="5" fillId="6" borderId="0" applyAlignment="1" pivotButton="0" quotePrefix="0" xfId="0">
      <alignment vertical="center" wrapText="1"/>
    </xf>
    <xf numFmtId="0" fontId="0" fillId="6" borderId="0" applyAlignment="1" pivotButton="0" quotePrefix="0" xfId="0">
      <alignment vertical="center" wrapText="1"/>
    </xf>
    <xf numFmtId="11" fontId="2" fillId="0" borderId="1" applyAlignment="1" pivotButton="0" quotePrefix="0" xfId="0">
      <alignment vertical="center"/>
    </xf>
    <xf numFmtId="0" fontId="4" fillId="4" borderId="1" applyAlignment="1" pivotButton="0" quotePrefix="0" xfId="0">
      <alignment vertical="center"/>
    </xf>
    <xf numFmtId="0" fontId="2" fillId="0" borderId="1" applyAlignment="1" pivotButton="0" quotePrefix="0" xfId="0">
      <alignment vertical="center"/>
    </xf>
    <xf numFmtId="164" fontId="2" fillId="5" borderId="1" applyAlignment="1" pivotButton="0" quotePrefix="0" xfId="0">
      <alignment vertical="center"/>
    </xf>
    <xf numFmtId="0" fontId="2" fillId="6" borderId="0" applyAlignment="1" pivotButton="0" quotePrefix="0" xfId="0">
      <alignment vertical="center" wrapText="1"/>
    </xf>
    <xf numFmtId="0" fontId="0" fillId="6" borderId="0" pivotButton="0" quotePrefix="0" xfId="0"/>
    <xf numFmtId="0" fontId="2" fillId="5" borderId="1" applyAlignment="1" pivotButton="0" quotePrefix="0" xfId="0">
      <alignment vertical="center"/>
    </xf>
    <xf numFmtId="0" fontId="4" fillId="0" borderId="1" applyAlignment="1" pivotButton="0" quotePrefix="0" xfId="0">
      <alignment vertical="center"/>
    </xf>
    <xf numFmtId="0" fontId="2" fillId="4" borderId="1" applyAlignment="1" pivotButton="0" quotePrefix="0" xfId="0">
      <alignment vertical="center"/>
    </xf>
    <xf numFmtId="0" fontId="5" fillId="4" borderId="0" applyAlignment="1" pivotButton="0" quotePrefix="0" xfId="0">
      <alignment vertical="center" wrapText="1"/>
    </xf>
    <xf numFmtId="0" fontId="0" fillId="4" borderId="0" applyAlignment="1" pivotButton="0" quotePrefix="0" xfId="0">
      <alignment vertical="center" wrapText="1"/>
    </xf>
    <xf numFmtId="1" fontId="2" fillId="0" borderId="1" applyAlignment="1" pivotButton="0" quotePrefix="0" xfId="0">
      <alignment vertical="center"/>
    </xf>
    <xf numFmtId="0" fontId="6" fillId="0" borderId="0" pivotButton="0" quotePrefix="0" xfId="0"/>
    <xf numFmtId="2" fontId="2" fillId="0" borderId="1" applyAlignment="1" pivotButton="0" quotePrefix="0" xfId="0">
      <alignment vertical="center"/>
    </xf>
    <xf numFmtId="164" fontId="4" fillId="4" borderId="1" applyAlignment="1" pivotButton="0" quotePrefix="0" xfId="0">
      <alignment vertical="center"/>
    </xf>
    <xf numFmtId="1" fontId="2" fillId="5" borderId="1" applyAlignment="1" pivotButton="0" quotePrefix="0" xfId="0">
      <alignment vertical="center"/>
    </xf>
    <xf numFmtId="2" fontId="2" fillId="5" borderId="1" applyAlignment="1" pivotButton="0" quotePrefix="0" xfId="0">
      <alignment vertical="center"/>
    </xf>
    <xf numFmtId="1" fontId="4" fillId="5" borderId="1" applyAlignment="1" pivotButton="0" quotePrefix="0" xfId="0">
      <alignment vertical="center"/>
    </xf>
    <xf numFmtId="1" fontId="4" fillId="3" borderId="1" applyAlignment="1" pivotButton="0" quotePrefix="0" xfId="0">
      <alignment vertical="center"/>
    </xf>
    <xf numFmtId="166" fontId="2" fillId="0" borderId="1" applyAlignment="1" pivotButton="0" quotePrefix="0" xfId="0">
      <alignment vertical="center"/>
    </xf>
    <xf numFmtId="164" fontId="2" fillId="4" borderId="1" applyAlignment="1" pivotButton="0" quotePrefix="0" xfId="0">
      <alignment vertical="center"/>
    </xf>
    <xf numFmtId="2" fontId="4" fillId="5" borderId="1" applyAlignment="1" pivotButton="0" quotePrefix="0" xfId="0">
      <alignment vertical="center"/>
    </xf>
    <xf numFmtId="167" fontId="4" fillId="6" borderId="1" applyAlignment="1" pivotButton="0" quotePrefix="0" xfId="0">
      <alignment vertical="center"/>
    </xf>
    <xf numFmtId="167" fontId="2" fillId="0" borderId="1" applyAlignment="1" pivotButton="0" quotePrefix="0" xfId="0">
      <alignment vertical="center"/>
    </xf>
    <xf numFmtId="167" fontId="4"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s>
</file>

<file path=xl/drawings/_rels/drawing4.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s>
</file>

<file path=xl/drawings/_rels/drawing5.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109</row>
      <rowOff>0</rowOff>
    </from>
    <ext cx="6096000" cy="3429000"/>
    <pic>
      <nvPicPr>
        <cNvPr id="1" name="Image 1" descr="Picture"/>
        <cNvPicPr/>
      </nvPicPr>
      <blipFill>
        <a:blip cstate="print" r:embed="rId1"/>
        <a:stretch>
          <a:fillRect/>
        </a:stretch>
      </blipFill>
      <spPr>
        <a:prstGeom prst="rect"/>
      </spPr>
    </pic>
    <clientData/>
  </oneCellAnchor>
  <oneCellAnchor>
    <from>
      <col>0</col>
      <colOff>0</colOff>
      <row>132</row>
      <rowOff>0</rowOff>
    </from>
    <ext cx="6096000" cy="34290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128</row>
      <rowOff>0</rowOff>
    </from>
    <ext cx="6096000" cy="3429000"/>
    <pic>
      <nvPicPr>
        <cNvPr id="1" name="Image 1" descr="Picture"/>
        <cNvPicPr/>
      </nvPicPr>
      <blipFill>
        <a:blip cstate="print" r:embed="rId1"/>
        <a:stretch>
          <a:fillRect/>
        </a:stretch>
      </blipFill>
      <spPr>
        <a:prstGeom prst="rect"/>
      </spPr>
    </pic>
    <clientData/>
  </oneCellAnchor>
  <oneCellAnchor>
    <from>
      <col>0</col>
      <colOff>0</colOff>
      <row>151</row>
      <rowOff>0</rowOff>
    </from>
    <ext cx="6096000" cy="3429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54</row>
      <rowOff>0</rowOff>
    </from>
    <ext cx="6096000" cy="34290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56</row>
      <rowOff>0</rowOff>
    </from>
    <ext cx="6096000" cy="3429000"/>
    <pic>
      <nvPicPr>
        <cNvPr id="1" name="Image 1" descr="Picture"/>
        <cNvPicPr/>
      </nvPicPr>
      <blipFill>
        <a:blip cstate="print" r:embed="rId1"/>
        <a:stretch>
          <a:fillRect/>
        </a:stretch>
      </blipFill>
      <spPr>
        <a:prstGeom prst="rect"/>
      </spPr>
    </pic>
    <clientData/>
  </oneCellAnchor>
  <oneCellAnchor>
    <from>
      <col>0</col>
      <colOff>0</colOff>
      <row>79</row>
      <rowOff>0</rowOff>
    </from>
    <ext cx="6096000" cy="3429000"/>
    <pic>
      <nvPicPr>
        <cNvPr id="2" name="Image 2" descr="Picture"/>
        <cNvPicPr/>
      </nvPicPr>
      <blipFill>
        <a:blip cstate="print" r:embed="rId2"/>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45</row>
      <rowOff>0</rowOff>
    </from>
    <ext cx="6096000" cy="3429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tabColor rgb="00C65911"/>
    <outlinePr summaryBelow="1" summaryRight="1"/>
    <pageSetUpPr fitToPage="1"/>
  </sheetPr>
  <dimension ref="A1:H14"/>
  <sheetViews>
    <sheetView showGridLines="0" workbookViewId="0">
      <selection activeCell="A1" sqref="A1"/>
    </sheetView>
  </sheetViews>
  <sheetFormatPr baseColWidth="8" defaultRowHeight="15"/>
  <cols>
    <col width="28" customWidth="1" min="1" max="1"/>
    <col width="42" customWidth="1" min="2" max="2"/>
    <col width="55" customWidth="1" min="3" max="3"/>
    <col width="36" customWidth="1" min="4" max="4"/>
    <col width="22" customWidth="1" min="5" max="5"/>
    <col width="18" customWidth="1" min="6" max="6"/>
    <col width="18" customWidth="1" min="7" max="7"/>
    <col width="18" customWidth="1" min="8" max="8"/>
  </cols>
  <sheetData>
    <row r="1" ht="22" customHeight="1">
      <c r="A1" s="1" t="inlineStr">
        <is>
          <t>FACULTAD DE INGENIERÍA Y ARQUITECTURA — Métodos numéricos</t>
        </is>
      </c>
      <c r="B1" s="2" t="n"/>
      <c r="C1" s="2" t="n"/>
      <c r="D1" s="2" t="n"/>
      <c r="E1" s="2" t="n"/>
      <c r="F1" s="2" t="n"/>
      <c r="G1" s="2" t="n"/>
      <c r="H1" s="2" t="n"/>
    </row>
    <row r="2" ht="22" customHeight="1">
      <c r="A2" s="1" t="inlineStr">
        <is>
          <t>Examen modelo U2 — una hoja por ejercicio</t>
        </is>
      </c>
      <c r="B2" s="2" t="n"/>
      <c r="C2" s="2" t="n"/>
      <c r="D2" s="2" t="n"/>
      <c r="E2" s="2" t="n"/>
      <c r="F2" s="2" t="n"/>
      <c r="G2" s="2" t="n"/>
      <c r="H2" s="2" t="n"/>
    </row>
    <row r="3" ht="15" customHeight="1">
      <c r="A3" s="3" t="inlineStr">
        <is>
          <t>Nombre: ______________________________________________</t>
        </is>
      </c>
    </row>
    <row r="4" ht="45" customHeight="1">
      <c r="A4" s="4" t="inlineStr">
        <is>
          <t>En cada hoja: (1) el enunciado, (2) el despeje a mano con fórmulas de Excel para poder copiar cómo salió cada número, (3) las iteraciones que pide el examen en aritmética exacta, (4) la corrida completa de Octave con gráfica incrustada y el log, (5) una prueba Excel contra Octave.</t>
        </is>
      </c>
      <c r="B4" s="5" t="n"/>
      <c r="C4" s="5" t="n"/>
      <c r="D4" s="5" t="n"/>
      <c r="E4" s="5" t="n"/>
      <c r="F4" s="5" t="n"/>
      <c r="G4" s="5" t="n"/>
      <c r="H4" s="5" t="n"/>
    </row>
    <row r="6" ht="22" customHeight="1">
      <c r="A6" s="6" t="inlineStr">
        <is>
          <t>Hoja</t>
        </is>
      </c>
      <c r="B6" s="6" t="inlineStr">
        <is>
          <t>Ejercicio del PDF</t>
        </is>
      </c>
      <c r="C6" s="6" t="inlineStr">
        <is>
          <t>Qué se despeja a mano</t>
        </is>
      </c>
      <c r="D6" s="6" t="inlineStr">
        <is>
          <t>Evidencia Octave</t>
        </is>
      </c>
    </row>
    <row r="7" ht="36" customHeight="1">
      <c r="A7" s="7" t="inlineStr">
        <is>
          <t>Ej1_No_lineal</t>
        </is>
      </c>
      <c r="B7" s="7" t="inlineStr">
        <is>
          <t>1. Sistema no lineal</t>
        </is>
      </c>
      <c r="C7" s="7" t="inlineStr">
        <is>
          <t>Jacobiana, 2 iteraciones de Newton en fracciones, despeje de punto fijo, sustitución de (±1,0,0) y soluciones reales</t>
        </is>
      </c>
      <c r="D7" s="7" t="inlineStr">
        <is>
          <t>Varios puntos de partida + 2 gráficas</t>
        </is>
      </c>
    </row>
    <row r="8" ht="36" customHeight="1">
      <c r="A8" s="7" t="inlineStr">
        <is>
          <t>Ej2_Jacobi_Seidel</t>
        </is>
      </c>
      <c r="B8" s="7" t="inlineStr">
        <is>
          <t>2. Jacobi y Gauss-Seidel</t>
        </is>
      </c>
      <c r="C8" s="7" t="inlineStr">
        <is>
          <t>Reordenamiento E.D.D., despeje de x,y,z, dos iteraciones con fracciones</t>
        </is>
      </c>
      <c r="D8" s="7" t="inlineStr">
        <is>
          <t>Hasta error 1e-10, radio espectral, 2 gráficas</t>
        </is>
      </c>
    </row>
    <row r="9" ht="36" customHeight="1">
      <c r="A9" s="7" t="inlineStr">
        <is>
          <t>Ej3_Newton_interp</t>
        </is>
      </c>
      <c r="B9" s="7" t="inlineStr">
        <is>
          <t>3. Catenaria, polinomio de Newton</t>
        </is>
      </c>
      <c r="C9" s="7" t="inlineStr">
        <is>
          <t>Tabla de diferencias divididas y evaluación anidada en x=200</t>
        </is>
      </c>
      <c r="D9" s="7" t="inlineStr">
        <is>
          <t>Curva, flecha y tabla</t>
        </is>
      </c>
    </row>
    <row r="10" ht="36" customHeight="1">
      <c r="A10" s="7" t="inlineStr">
        <is>
          <t>Ej4_Minimos</t>
        </is>
      </c>
      <c r="B10" s="7" t="inlineStr">
        <is>
          <t>4. Pitot, parábola por mínimos cuadrados</t>
        </is>
      </c>
      <c r="C10" s="7" t="inlineStr">
        <is>
          <t>Sumas término a término, sistema normal y Cramer</t>
        </is>
      </c>
      <c r="D10" s="7" t="inlineStr">
        <is>
          <t>Parábola, v(4) y residuos</t>
        </is>
      </c>
    </row>
    <row r="11" ht="36" customHeight="1">
      <c r="A11" s="7" t="inlineStr">
        <is>
          <t>Ej5_Lagrange</t>
        </is>
      </c>
      <c r="B11" s="7" t="inlineStr">
        <is>
          <t>5. Lagrange inverso, péndulo</t>
        </is>
      </c>
      <c r="C11" s="7" t="inlineStr">
        <is>
          <t>Cada factor L_i(y) escrito y evaluado en y=2</t>
        </is>
      </c>
      <c r="D11" s="7" t="inlineStr">
        <is>
          <t>Curva x=P(y) y el valor pedido</t>
        </is>
      </c>
    </row>
    <row r="13" ht="15" customHeight="1">
      <c r="A13" s="8" t="inlineStr">
        <is>
          <t>Regenerar evidencias y este archivo:</t>
        </is>
      </c>
      <c r="B13" s="9" t="n"/>
      <c r="C13" s="9" t="n"/>
      <c r="D13" s="9" t="n"/>
      <c r="E13" s="9" t="n"/>
      <c r="F13" s="9" t="n"/>
      <c r="G13" s="9" t="n"/>
      <c r="H13" s="9" t="n"/>
    </row>
    <row r="14" ht="15" customHeight="1">
      <c r="A14" s="3" t="inlineStr">
        <is>
          <t>bash octave/ejecutar_todos.sh &amp;&amp; python3 scripts/generar_examen_u2.py</t>
        </is>
      </c>
    </row>
  </sheetData>
  <mergeCells count="6">
    <mergeCell ref="A4:H4"/>
    <mergeCell ref="A3:H3"/>
    <mergeCell ref="A2:H2"/>
    <mergeCell ref="A13:H13"/>
    <mergeCell ref="A14:H14"/>
    <mergeCell ref="A1:H1"/>
  </mergeCells>
  <pageMargins left="0.4" right="0.4" top="0.5" bottom="0.5" header="0.5" footer="0.5"/>
  <pageSetup orientation="landscape" paperSize="9" fitToHeight="0" fitToWidth="1"/>
  <headerFooter>
    <oddHeader>&amp;LMétodos numéricos — examen modelo U2</oddHeader>
    <oddFooter>&amp;RHoja &amp;P</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H242"/>
  <sheetViews>
    <sheetView showGridLines="0" zoomScale="110"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FACULTAD DE INGENIERÍA Y ARQUITECTURA</t>
        </is>
      </c>
      <c r="B1" s="2" t="n"/>
      <c r="C1" s="2" t="n"/>
      <c r="D1" s="2" t="n"/>
      <c r="E1" s="2" t="n"/>
      <c r="F1" s="2" t="n"/>
      <c r="G1" s="2" t="n"/>
      <c r="H1" s="2" t="n"/>
    </row>
    <row r="2" ht="22" customHeight="1">
      <c r="A2" s="1" t="inlineStr">
        <is>
          <t>EXAMEN DE UNIDAD DE MÉTODOS NUMÉRICOS  ·  Mg. Jessica Perez Rivera</t>
        </is>
      </c>
      <c r="B2" s="2" t="n"/>
      <c r="C2" s="2" t="n"/>
      <c r="D2" s="2" t="n"/>
      <c r="E2" s="2" t="n"/>
      <c r="F2" s="2" t="n"/>
      <c r="G2" s="2" t="n"/>
      <c r="H2" s="2" t="n"/>
    </row>
    <row r="3" ht="15" customHeight="1">
      <c r="A3" s="3" t="inlineStr">
        <is>
          <t>Nombre: ______________________________________________</t>
        </is>
      </c>
    </row>
    <row r="4" ht="22" customHeight="1">
      <c r="A4" s="10" t="inlineStr">
        <is>
          <t>EJERCICIO 1 — Sistema de ecuaciones no lineales</t>
        </is>
      </c>
      <c r="B4" s="11" t="n"/>
      <c r="C4" s="11" t="n"/>
      <c r="D4" s="11" t="n"/>
      <c r="E4" s="11" t="n"/>
      <c r="F4" s="11" t="n"/>
      <c r="G4" s="11" t="n"/>
      <c r="H4" s="11" t="n"/>
    </row>
    <row r="5" ht="22" customHeight="1">
      <c r="A5" s="12" t="inlineStr">
        <is>
          <t>ENUNCIADO (transcrito del PDF del examen modelo)</t>
        </is>
      </c>
      <c r="B5" s="11" t="n"/>
      <c r="C5" s="11" t="n"/>
      <c r="D5" s="11" t="n"/>
      <c r="E5" s="11" t="n"/>
      <c r="F5" s="11" t="n"/>
      <c r="G5" s="11" t="n"/>
      <c r="H5" s="11" t="n"/>
    </row>
    <row r="6" ht="15" customHeight="1">
      <c r="A6" s="3" t="inlineStr">
        <is>
          <t>x² + y² − z = 0</t>
        </is>
      </c>
    </row>
    <row r="7" ht="15" customHeight="1">
      <c r="A7" s="3" t="inlineStr">
        <is>
          <t>x² + y² + z² = 2</t>
        </is>
      </c>
    </row>
    <row r="8" ht="15" customHeight="1">
      <c r="A8" s="3" t="inlineStr">
        <is>
          <t>3y + z = 1</t>
        </is>
      </c>
    </row>
    <row r="9" ht="15" customHeight="1">
      <c r="A9" s="3" t="inlineStr">
        <is>
          <t>a) Newton-Raphson y punto fijo: dos iteraciones desde (1, 0, 0).</t>
        </is>
      </c>
    </row>
    <row r="10" ht="15" customHeight="1">
      <c r="A10" s="3" t="inlineStr">
        <is>
          <t>b) Mostrar si (±1, 0, 0) son soluciones del sistema escrito.</t>
        </is>
      </c>
    </row>
    <row r="11" ht="15" customHeight="1">
      <c r="A11" s="3" t="inlineStr">
        <is>
          <t>c) Programa (Octave), varios puntos de partida.</t>
        </is>
      </c>
    </row>
    <row r="13" ht="22" customHeight="1">
      <c r="A13" s="13" t="inlineStr">
        <is>
          <t>A) DESARROLLO PARA COPIAR — Newton-Raphson (aritmética exacta)</t>
        </is>
      </c>
      <c r="B13" s="14" t="n"/>
      <c r="C13" s="14" t="n"/>
      <c r="D13" s="14" t="n"/>
      <c r="E13" s="14" t="n"/>
      <c r="F13" s="14" t="n"/>
      <c r="G13" s="14" t="n"/>
      <c r="H13" s="14" t="n"/>
    </row>
    <row r="14" ht="15" customHeight="1">
      <c r="A14" s="4" t="inlineStr">
        <is>
          <t>F1 = x² + y² − z ,   F2 = x² + y² + z² − 2 ,   F3 = 3y + z − 1.</t>
        </is>
      </c>
      <c r="B14" s="5" t="n"/>
      <c r="C14" s="5" t="n"/>
      <c r="D14" s="5" t="n"/>
      <c r="E14" s="5" t="n"/>
      <c r="F14" s="5" t="n"/>
      <c r="G14" s="5" t="n"/>
      <c r="H14" s="5" t="n"/>
    </row>
    <row r="15" ht="15" customHeight="1">
      <c r="A15" s="4" t="inlineStr">
        <is>
          <t>Jacobiana:  fila1 (2x, 2y, −1) ;  fila2 (2x, 2y, 2z) ;  fila3 (0, 3, 1).   Se resuelve J·δ = F y X ← X − δ.</t>
        </is>
      </c>
      <c r="B15" s="5" t="n"/>
      <c r="C15" s="5" t="n"/>
      <c r="D15" s="5" t="n"/>
      <c r="E15" s="5" t="n"/>
      <c r="F15" s="5" t="n"/>
      <c r="G15" s="5" t="n"/>
      <c r="H15" s="5" t="n"/>
    </row>
    <row r="16" ht="15" customHeight="1">
      <c r="A16" s="4" t="inlineStr">
        <is>
          <t>Iteración 0 en (1, 0, 0).  F = (1, −1, −1).</t>
        </is>
      </c>
      <c r="B16" s="5" t="n"/>
      <c r="C16" s="5" t="n"/>
      <c r="D16" s="5" t="n"/>
      <c r="E16" s="5" t="n"/>
      <c r="F16" s="5" t="n"/>
      <c r="G16" s="5" t="n"/>
      <c r="H16" s="5" t="n"/>
    </row>
    <row r="17" ht="15" customHeight="1">
      <c r="A17" s="4" t="inlineStr">
        <is>
          <t>J = [[2, 0, −1], [2, 0, 0], [0, 3, 1]].   det(J) = −1·(2·3 − 0·0) = −6.</t>
        </is>
      </c>
      <c r="B17" s="5" t="n"/>
      <c r="C17" s="5" t="n"/>
      <c r="D17" s="5" t="n"/>
      <c r="E17" s="5" t="n"/>
      <c r="F17" s="5" t="n"/>
      <c r="G17" s="5" t="n"/>
      <c r="H17" s="5" t="n"/>
    </row>
    <row r="18" ht="15" customHeight="1">
      <c r="A18" s="4" t="inlineStr">
        <is>
          <t>De la 2.ª ecuación: 2·δx = −1 ⇒ δx = −1/2.</t>
        </is>
      </c>
      <c r="B18" s="5" t="n"/>
      <c r="C18" s="5" t="n"/>
      <c r="D18" s="5" t="n"/>
      <c r="E18" s="5" t="n"/>
      <c r="F18" s="5" t="n"/>
      <c r="G18" s="5" t="n"/>
      <c r="H18" s="5" t="n"/>
    </row>
    <row r="19" ht="15" customHeight="1">
      <c r="A19" s="4" t="inlineStr">
        <is>
          <t>De la 1.ª: 2·(−1/2) − δz = 1 ⇒ −1 − δz = 1 ⇒ δz = −2.</t>
        </is>
      </c>
      <c r="B19" s="5" t="n"/>
      <c r="C19" s="5" t="n"/>
      <c r="D19" s="5" t="n"/>
      <c r="E19" s="5" t="n"/>
      <c r="F19" s="5" t="n"/>
      <c r="G19" s="5" t="n"/>
      <c r="H19" s="5" t="n"/>
    </row>
    <row r="20" ht="15" customHeight="1">
      <c r="A20" s="4" t="inlineStr">
        <is>
          <t>De la 3.ª: 3·δy − 2 = −1 ⇒ 3·δy = 1 ⇒ δy = 1/3.</t>
        </is>
      </c>
      <c r="B20" s="5" t="n"/>
      <c r="C20" s="5" t="n"/>
      <c r="D20" s="5" t="n"/>
      <c r="E20" s="5" t="n"/>
      <c r="F20" s="5" t="n"/>
      <c r="G20" s="5" t="n"/>
      <c r="H20" s="5" t="n"/>
    </row>
    <row r="21" ht="15" customHeight="1">
      <c r="A21" s="4" t="inlineStr">
        <is>
          <t>X1 = (1, 0, 0) − (−1/2, 1/3, −2) = (3/2, −1/3, 2).</t>
        </is>
      </c>
      <c r="B21" s="5" t="n"/>
      <c r="C21" s="5" t="n"/>
      <c r="D21" s="5" t="n"/>
      <c r="E21" s="5" t="n"/>
      <c r="F21" s="5" t="n"/>
      <c r="G21" s="5" t="n"/>
      <c r="H21" s="5" t="n"/>
    </row>
    <row r="22" ht="15" customHeight="1">
      <c r="A22" s="4" t="inlineStr">
        <is>
          <t>Iteración 1.  F(3/2, −1/3, 2) = (13/36, 157/36, 0).</t>
        </is>
      </c>
      <c r="B22" s="5" t="n"/>
      <c r="C22" s="5" t="n"/>
      <c r="D22" s="5" t="n"/>
      <c r="E22" s="5" t="n"/>
      <c r="F22" s="5" t="n"/>
      <c r="G22" s="5" t="n"/>
      <c r="H22" s="5" t="n"/>
    </row>
    <row r="23" ht="15" customHeight="1">
      <c r="A23" s="4" t="inlineStr">
        <is>
          <t>J = [[3, −2/3, −1], [3, −2/3, 4], [0, 3, 1]].  det(J) = 3·(−2/3 − 12) − (−2/3)·3 + (−1)·9 = −38 − 7 = −45.</t>
        </is>
      </c>
      <c r="B23" s="5" t="n"/>
      <c r="C23" s="5" t="n"/>
      <c r="D23" s="5" t="n"/>
      <c r="E23" s="5" t="n"/>
      <c r="F23" s="5" t="n"/>
      <c r="G23" s="5" t="n"/>
      <c r="H23" s="5" t="n"/>
    </row>
    <row r="24" ht="15" customHeight="1">
      <c r="A24" s="4" t="inlineStr">
        <is>
          <t>Cramer da δ = (59/180, −4/15, 4/5).</t>
        </is>
      </c>
      <c r="B24" s="5" t="n"/>
      <c r="C24" s="5" t="n"/>
      <c r="D24" s="5" t="n"/>
      <c r="E24" s="5" t="n"/>
      <c r="F24" s="5" t="n"/>
      <c r="G24" s="5" t="n"/>
      <c r="H24" s="5" t="n"/>
    </row>
    <row r="25" ht="15" customHeight="1">
      <c r="A25" s="4" t="inlineStr">
        <is>
          <t>X2 = (3/2 − 59/180, −1/3 + 4/15, 2 − 4/5) = (211/180, −1/15, 6/5).</t>
        </is>
      </c>
      <c r="B25" s="5" t="n"/>
      <c r="C25" s="5" t="n"/>
      <c r="D25" s="5" t="n"/>
      <c r="E25" s="5" t="n"/>
      <c r="F25" s="5" t="n"/>
      <c r="G25" s="5" t="n"/>
      <c r="H25" s="5" t="n"/>
    </row>
    <row r="26" ht="30" customHeight="1">
      <c r="A26" s="4" t="inlineStr">
        <is>
          <t>Las celdas de abajo recalculan lo mismo con fórmulas (para ver de dónde sale cada número) y deben coincidir con estas fracciones.</t>
        </is>
      </c>
      <c r="B26" s="5" t="n"/>
      <c r="C26" s="5" t="n"/>
      <c r="D26" s="5" t="n"/>
      <c r="E26" s="5" t="n"/>
      <c r="F26" s="5" t="n"/>
      <c r="G26" s="5" t="n"/>
      <c r="H26" s="5" t="n"/>
    </row>
    <row r="28" ht="22" customHeight="1">
      <c r="A28" s="13" t="inlineStr">
        <is>
          <t>Comprobación con fórmulas — paso 0 → 1   (partida 1, 0, 0)</t>
        </is>
      </c>
      <c r="B28" s="14" t="n"/>
      <c r="C28" s="14" t="n"/>
      <c r="D28" s="14" t="n"/>
      <c r="E28" s="14" t="n"/>
      <c r="F28" s="14" t="n"/>
      <c r="G28" s="14" t="n"/>
      <c r="H28" s="14" t="n"/>
    </row>
    <row r="29">
      <c r="A29" s="15" t="inlineStr">
        <is>
          <t>x , y , z</t>
        </is>
      </c>
      <c r="B29" s="16" t="n">
        <v>1</v>
      </c>
      <c r="C29" s="16" t="n">
        <v>0</v>
      </c>
      <c r="D29" s="16" t="n">
        <v>0</v>
      </c>
    </row>
    <row r="30">
      <c r="A30" s="15" t="inlineStr">
        <is>
          <t>F1 F2 F3</t>
        </is>
      </c>
      <c r="B30" s="17">
        <f>B29^2+C29^2-D29</f>
        <v/>
      </c>
      <c r="C30" s="17">
        <f>B29^2+C29^2+D29^2-2</f>
        <v/>
      </c>
      <c r="D30" s="17">
        <f>3*C29+D29-1</f>
        <v/>
      </c>
    </row>
    <row r="31">
      <c r="A31" s="15" t="inlineStr">
        <is>
          <t>J fila 1</t>
        </is>
      </c>
      <c r="B31" s="17">
        <f>2*B29</f>
        <v/>
      </c>
      <c r="C31" s="17">
        <f>2*C29</f>
        <v/>
      </c>
      <c r="D31" s="17" t="n">
        <v>-1</v>
      </c>
    </row>
    <row r="32">
      <c r="A32" s="15" t="inlineStr">
        <is>
          <t>J fila 2</t>
        </is>
      </c>
      <c r="B32" s="17">
        <f>2*B29</f>
        <v/>
      </c>
      <c r="C32" s="17">
        <f>2*C29</f>
        <v/>
      </c>
      <c r="D32" s="17">
        <f>2*D29</f>
        <v/>
      </c>
    </row>
    <row r="33">
      <c r="A33" s="15" t="inlineStr">
        <is>
          <t>J fila 3</t>
        </is>
      </c>
      <c r="B33" s="17" t="n">
        <v>0</v>
      </c>
      <c r="C33" s="17" t="n">
        <v>3</v>
      </c>
      <c r="D33" s="17" t="n">
        <v>1</v>
      </c>
    </row>
    <row r="34">
      <c r="A34" s="15" t="inlineStr">
        <is>
          <t>det(J) expandido</t>
        </is>
      </c>
      <c r="B34" s="18">
        <f>(B31*(C32*D33-D32*C33)-C31*(B32*D33-D32*B33)+D31*(B32*C33-C32*B33))</f>
        <v/>
      </c>
    </row>
    <row r="35">
      <c r="A35" s="15" t="inlineStr">
        <is>
          <t>δx δy δz (Cramer)</t>
        </is>
      </c>
      <c r="B35" s="17">
        <f>((B30*(C32*D33-D32*C33)-C31*(C30*D33-D32*D30)+D31*(C30*C33-C32*D30)))/B34</f>
        <v/>
      </c>
      <c r="C35" s="17">
        <f>((B31*(C30*D33-D32*D30)-B30*(B32*D33-D32*B33)+D31*(B32*D30-C30*B33)))/B34</f>
        <v/>
      </c>
      <c r="D35" s="17">
        <f>((B31*(C32*D30-C30*C33)-C31*(B32*D30-C30*B33)+B30*(B32*C33-C32*B33)))/B34</f>
        <v/>
      </c>
    </row>
    <row r="36">
      <c r="A36" s="15" t="inlineStr">
        <is>
          <t>X nuevo = X − δ</t>
        </is>
      </c>
      <c r="B36" s="19">
        <f>B29-B35</f>
        <v/>
      </c>
      <c r="C36" s="19">
        <f>C29-C35</f>
        <v/>
      </c>
      <c r="D36" s="19">
        <f>D29-D35</f>
        <v/>
      </c>
    </row>
    <row r="37" ht="22" customHeight="1">
      <c r="A37" s="13" t="inlineStr">
        <is>
          <t>Comprobación con fórmulas — paso 1 → 2</t>
        </is>
      </c>
      <c r="B37" s="14" t="n"/>
      <c r="C37" s="14" t="n"/>
      <c r="D37" s="14" t="n"/>
      <c r="E37" s="14" t="n"/>
      <c r="F37" s="14" t="n"/>
      <c r="G37" s="14" t="n"/>
      <c r="H37" s="14" t="n"/>
    </row>
    <row r="38">
      <c r="A38" s="15" t="inlineStr">
        <is>
          <t>x , y , z</t>
        </is>
      </c>
      <c r="B38" s="16">
        <f>B36</f>
        <v/>
      </c>
      <c r="C38" s="16">
        <f>C36</f>
        <v/>
      </c>
      <c r="D38" s="16">
        <f>D36</f>
        <v/>
      </c>
    </row>
    <row r="39">
      <c r="A39" s="15" t="inlineStr">
        <is>
          <t>F1 F2 F3</t>
        </is>
      </c>
      <c r="B39" s="17">
        <f>B38^2+C38^2-D38</f>
        <v/>
      </c>
      <c r="C39" s="17">
        <f>B38^2+C38^2+D38^2-2</f>
        <v/>
      </c>
      <c r="D39" s="17">
        <f>3*C38+D38-1</f>
        <v/>
      </c>
    </row>
    <row r="40">
      <c r="A40" s="15" t="inlineStr">
        <is>
          <t>J fila 1</t>
        </is>
      </c>
      <c r="B40" s="17">
        <f>2*B38</f>
        <v/>
      </c>
      <c r="C40" s="17">
        <f>2*C38</f>
        <v/>
      </c>
      <c r="D40" s="17" t="n">
        <v>-1</v>
      </c>
    </row>
    <row r="41">
      <c r="A41" s="15" t="inlineStr">
        <is>
          <t>J fila 2</t>
        </is>
      </c>
      <c r="B41" s="17">
        <f>2*B38</f>
        <v/>
      </c>
      <c r="C41" s="17">
        <f>2*C38</f>
        <v/>
      </c>
      <c r="D41" s="17">
        <f>2*D38</f>
        <v/>
      </c>
    </row>
    <row r="42">
      <c r="A42" s="15" t="inlineStr">
        <is>
          <t>J fila 3</t>
        </is>
      </c>
      <c r="B42" s="17" t="n">
        <v>0</v>
      </c>
      <c r="C42" s="17" t="n">
        <v>3</v>
      </c>
      <c r="D42" s="17" t="n">
        <v>1</v>
      </c>
    </row>
    <row r="43">
      <c r="A43" s="15" t="inlineStr">
        <is>
          <t>det(J) expandido</t>
        </is>
      </c>
      <c r="B43" s="18">
        <f>(B40*(C41*D42-D41*C42)-C40*(B41*D42-D41*B42)+D40*(B41*C42-C41*B42))</f>
        <v/>
      </c>
    </row>
    <row r="44">
      <c r="A44" s="15" t="inlineStr">
        <is>
          <t>δx δy δz (Cramer)</t>
        </is>
      </c>
      <c r="B44" s="17">
        <f>((B39*(C41*D42-D41*C42)-C40*(C39*D42-D41*D39)+D40*(C39*C42-C41*D39)))/B43</f>
        <v/>
      </c>
      <c r="C44" s="17">
        <f>((B40*(C39*D42-D41*D39)-B39*(B41*D42-D41*B42)+D40*(B41*D39-C39*B42)))/B43</f>
        <v/>
      </c>
      <c r="D44" s="17">
        <f>((B40*(C41*D39-C39*C42)-C40*(B41*D39-C39*B42)+B39*(B41*C42-C41*B42)))/B43</f>
        <v/>
      </c>
    </row>
    <row r="45">
      <c r="A45" s="15" t="inlineStr">
        <is>
          <t>X nuevo = X − δ</t>
        </is>
      </c>
      <c r="B45" s="19">
        <f>B38-B44</f>
        <v/>
      </c>
      <c r="C45" s="19">
        <f>C38-C44</f>
        <v/>
      </c>
      <c r="D45" s="19">
        <f>D38-D44</f>
        <v/>
      </c>
    </row>
    <row r="46" ht="22" customHeight="1">
      <c r="A46" s="20" t="inlineStr">
        <is>
          <t>Prueba del desarrollo a mano contra las fórmulas</t>
        </is>
      </c>
      <c r="B46" s="21" t="n"/>
      <c r="C46" s="21" t="n"/>
      <c r="D46" s="21" t="n"/>
      <c r="E46" s="21" t="n"/>
      <c r="F46" s="21" t="n"/>
      <c r="G46" s="21" t="n"/>
      <c r="H46" s="21" t="n"/>
    </row>
    <row r="47">
      <c r="A47" s="15" t="inlineStr">
        <is>
          <t>X2 exacto (211/180, −1/15, 6/5)</t>
        </is>
      </c>
      <c r="B47" s="17">
        <f>211/180</f>
        <v/>
      </c>
      <c r="C47" s="17">
        <f>-1/15</f>
        <v/>
      </c>
      <c r="D47" s="17">
        <f>6/5</f>
        <v/>
      </c>
    </row>
    <row r="48">
      <c r="A48" s="15" t="inlineStr">
        <is>
          <t>|X2 fórmulas − X2 exacto|</t>
        </is>
      </c>
      <c r="B48" s="22">
        <f>ABS(B45-B47)</f>
        <v/>
      </c>
      <c r="C48" s="22">
        <f>ABS(C45-C47)</f>
        <v/>
      </c>
      <c r="D48" s="22">
        <f>ABS(D45-D47)</f>
        <v/>
      </c>
    </row>
    <row r="49">
      <c r="A49" s="15" t="inlineStr">
        <is>
          <t>Estado Newton a mano</t>
        </is>
      </c>
      <c r="B49" s="23">
        <f>IF(AND(B48&lt;1E-9,C48&lt;1E-9,D48&lt;1E-9),"OK","Revisar")</f>
        <v/>
      </c>
    </row>
    <row r="51" ht="22" customHeight="1">
      <c r="A51" s="13" t="inlineStr">
        <is>
          <t>A) DESARROLLO PARA COPIAR — Punto fijo (hay que despejar cada incógnita)</t>
        </is>
      </c>
      <c r="B51" s="14" t="n"/>
      <c r="C51" s="14" t="n"/>
      <c r="D51" s="14" t="n"/>
      <c r="E51" s="14" t="n"/>
      <c r="F51" s="14" t="n"/>
      <c r="G51" s="14" t="n"/>
      <c r="H51" s="14" t="n"/>
    </row>
    <row r="52" ht="15" customHeight="1">
      <c r="A52" s="4" t="inlineStr">
        <is>
          <t>De la ecuación 2, rama positiva (x0 = 1 &gt; 0):   x = √(2 − y² − z²).</t>
        </is>
      </c>
      <c r="B52" s="5" t="n"/>
      <c r="C52" s="5" t="n"/>
      <c r="D52" s="5" t="n"/>
      <c r="E52" s="5" t="n"/>
      <c r="F52" s="5" t="n"/>
      <c r="G52" s="5" t="n"/>
      <c r="H52" s="5" t="n"/>
    </row>
    <row r="53" ht="15" customHeight="1">
      <c r="A53" s="4" t="inlineStr">
        <is>
          <t>De la ecuación 3:   y = (1 − z) / 3.</t>
        </is>
      </c>
      <c r="B53" s="5" t="n"/>
      <c r="C53" s="5" t="n"/>
      <c r="D53" s="5" t="n"/>
      <c r="E53" s="5" t="n"/>
      <c r="F53" s="5" t="n"/>
      <c r="G53" s="5" t="n"/>
      <c r="H53" s="5" t="n"/>
    </row>
    <row r="54" ht="15" customHeight="1">
      <c r="A54" s="4" t="inlineStr">
        <is>
          <t>De la ecuación 1:   z = x² + y².</t>
        </is>
      </c>
      <c r="B54" s="5" t="n"/>
      <c r="C54" s="5" t="n"/>
      <c r="D54" s="5" t="n"/>
      <c r="E54" s="5" t="n"/>
      <c r="F54" s="5" t="n"/>
      <c r="G54" s="5" t="n"/>
      <c r="H54" s="5" t="n"/>
    </row>
    <row r="55" ht="15" customHeight="1">
      <c r="A55" s="4" t="inlineStr">
        <is>
          <t>Actualización simultánea (solo se usan valores de la iteración anterior).</t>
        </is>
      </c>
      <c r="B55" s="5" t="n"/>
      <c r="C55" s="5" t="n"/>
      <c r="D55" s="5" t="n"/>
      <c r="E55" s="5" t="n"/>
      <c r="F55" s="5" t="n"/>
      <c r="G55" s="5" t="n"/>
      <c r="H55" s="5" t="n"/>
    </row>
    <row r="56" ht="15" customHeight="1">
      <c r="A56" s="4" t="inlineStr">
        <is>
          <t>Desde (1, 0, 0):   x1 = √2 ,   y1 = 1/3 ,   z1 = 1.</t>
        </is>
      </c>
      <c r="B56" s="5" t="n"/>
      <c r="C56" s="5" t="n"/>
      <c r="D56" s="5" t="n"/>
      <c r="E56" s="5" t="n"/>
      <c r="F56" s="5" t="n"/>
      <c r="G56" s="5" t="n"/>
      <c r="H56" s="5" t="n"/>
    </row>
    <row r="57" ht="15" customHeight="1">
      <c r="A57" s="4" t="inlineStr">
        <is>
          <t>Desde (√2, 1/3, 1):   x2 = √(2 − 1/9 − 1) = √(8/9) = 2√2 / 3 ,   y2 = 0 ,   z2 = 2 + 1/9 = 19/9.</t>
        </is>
      </c>
      <c r="B57" s="5" t="n"/>
      <c r="C57" s="5" t="n"/>
      <c r="D57" s="5" t="n"/>
      <c r="E57" s="5" t="n"/>
      <c r="F57" s="5" t="n"/>
      <c r="G57" s="5" t="n"/>
      <c r="H57" s="5" t="n"/>
    </row>
    <row r="58" ht="30" customHeight="1">
      <c r="A58" s="4" t="inlineStr">
        <is>
          <t>Tercera iteración: el argumento 2 − y2² − z2² = 2 − (19/9)² = −199/81 &lt; 0. No hay siguiente raíz real con este despeje.</t>
        </is>
      </c>
      <c r="B58" s="5" t="n"/>
      <c r="C58" s="5" t="n"/>
      <c r="D58" s="5" t="n"/>
      <c r="E58" s="5" t="n"/>
      <c r="F58" s="5" t="n"/>
      <c r="G58" s="5" t="n"/>
      <c r="H58" s="5" t="n"/>
    </row>
    <row r="59" ht="30" customHeight="1">
      <c r="A59" s="4" t="inlineStr">
        <is>
          <t>El examen pide dos iteraciones: con este despeje existen y quedan escritas arriba. La tercera ya no es real; eso también se reporta.</t>
        </is>
      </c>
      <c r="B59" s="5" t="n"/>
      <c r="C59" s="5" t="n"/>
      <c r="D59" s="5" t="n"/>
      <c r="E59" s="5" t="n"/>
      <c r="F59" s="5" t="n"/>
      <c r="G59" s="5" t="n"/>
      <c r="H59" s="5" t="n"/>
    </row>
    <row r="61" ht="22" customHeight="1">
      <c r="A61" s="6" t="inlineStr">
        <is>
          <t>k</t>
        </is>
      </c>
      <c r="B61" s="6" t="inlineStr">
        <is>
          <t>x</t>
        </is>
      </c>
      <c r="C61" s="6" t="inlineStr">
        <is>
          <t>y</t>
        </is>
      </c>
      <c r="D61" s="6" t="inlineStr">
        <is>
          <t>z</t>
        </is>
      </c>
      <c r="E61" s="6" t="inlineStr">
        <is>
          <t>argumento 2−y²−z²</t>
        </is>
      </c>
      <c r="F61" s="6" t="inlineStr">
        <is>
          <t>¿siguiente real?</t>
        </is>
      </c>
    </row>
    <row r="62">
      <c r="A62" s="24" t="n">
        <v>0</v>
      </c>
      <c r="B62" s="25" t="n">
        <v>1</v>
      </c>
      <c r="C62" s="25" t="n">
        <v>0</v>
      </c>
      <c r="D62" s="25" t="n">
        <v>0</v>
      </c>
      <c r="E62" s="17">
        <f>2-C62^2-D62^2</f>
        <v/>
      </c>
      <c r="F62" s="24">
        <f>IF(E62&lt;0,"NO","SÍ")</f>
        <v/>
      </c>
    </row>
    <row r="63">
      <c r="A63" s="24" t="n">
        <v>1</v>
      </c>
      <c r="B63" s="17">
        <f>IF(E62&lt;0,"—",SQRT(MAX(0,E62)))</f>
        <v/>
      </c>
      <c r="C63" s="17">
        <f>IF(E62&lt;0,"—",(1-D62)/3)</f>
        <v/>
      </c>
      <c r="D63" s="17">
        <f>IF(E62&lt;0,"—",B62^2+C62^2)</f>
        <v/>
      </c>
      <c r="E63" s="17">
        <f>IF(NOT(ISNUMBER(C63)),"—",2-C63^2-D63^2)</f>
        <v/>
      </c>
      <c r="F63" s="24">
        <f>IF(E62&lt;0,"se detiene",IF(N(E63)&lt;0,"NO","SÍ"))</f>
        <v/>
      </c>
    </row>
    <row r="64">
      <c r="A64" s="24" t="n">
        <v>2</v>
      </c>
      <c r="B64" s="17">
        <f>IF(E63&lt;0,"—",SQRT(MAX(0,E63)))</f>
        <v/>
      </c>
      <c r="C64" s="17">
        <f>IF(E63&lt;0,"—",(1-D63)/3)</f>
        <v/>
      </c>
      <c r="D64" s="17">
        <f>IF(E63&lt;0,"—",B63^2+C63^2)</f>
        <v/>
      </c>
      <c r="E64" s="17">
        <f>IF(NOT(ISNUMBER(C64)),"—",2-C64^2-D64^2)</f>
        <v/>
      </c>
      <c r="F64" s="24">
        <f>IF(E63&lt;0,"se detiene",IF(N(E64)&lt;0,"NO","SÍ"))</f>
        <v/>
      </c>
    </row>
    <row r="65">
      <c r="A65" s="24" t="n">
        <v>3</v>
      </c>
      <c r="B65" s="17">
        <f>IF(E64&lt;0,"—",SQRT(MAX(0,E64)))</f>
        <v/>
      </c>
      <c r="C65" s="17">
        <f>IF(E64&lt;0,"—",(1-D64)/3)</f>
        <v/>
      </c>
      <c r="D65" s="17">
        <f>IF(E64&lt;0,"—",B64^2+C64^2)</f>
        <v/>
      </c>
      <c r="E65" s="17">
        <f>IF(NOT(ISNUMBER(C65)),"—",2-C65^2-D65^2)</f>
        <v/>
      </c>
      <c r="F65" s="24">
        <f>IF(E64&lt;0,"se detiene",IF(N(E65)&lt;0,"NO","SÍ"))</f>
        <v/>
      </c>
    </row>
    <row r="66" ht="30" customHeight="1">
      <c r="A66" s="26" t="inlineStr">
        <is>
          <t>Prueba: x1 debe ser √2 ≈ 1.4142135624, y1 = 0.3333333333, z1 = 1; x2 = 2√2/3 ≈ 0.9428090416, y2 = 0, z2 = 19/9 ≈ 2.1111111111.</t>
        </is>
      </c>
      <c r="B66" s="27" t="n"/>
      <c r="C66" s="27" t="n"/>
      <c r="D66" s="27" t="n"/>
      <c r="E66" s="27" t="n"/>
      <c r="F66" s="27" t="n"/>
      <c r="G66" s="27" t="n"/>
      <c r="H66" s="27" t="n"/>
    </row>
    <row r="68" ht="22" customHeight="1">
      <c r="A68" s="13" t="inlineStr">
        <is>
          <t>B) SUSTITUCIÓN PEDIDA — ¿(±1, 0, 0) anulan el sistema?</t>
        </is>
      </c>
      <c r="B68" s="14" t="n"/>
      <c r="C68" s="14" t="n"/>
      <c r="D68" s="14" t="n"/>
      <c r="E68" s="14" t="n"/>
      <c r="F68" s="14" t="n"/>
      <c r="G68" s="14" t="n"/>
      <c r="H68" s="14" t="n"/>
    </row>
    <row r="69" ht="30" customHeight="1">
      <c r="A69" s="4" t="inlineStr">
        <is>
          <t>El enunciado pide mostrar que (±1, 0, 0) son soluciones. Se sustituye en las tres ecuaciones. Si algún residuo no es 0, el punto no es solución del sistema escrito.</t>
        </is>
      </c>
      <c r="B69" s="5" t="n"/>
      <c r="C69" s="5" t="n"/>
      <c r="D69" s="5" t="n"/>
      <c r="E69" s="5" t="n"/>
      <c r="F69" s="5" t="n"/>
      <c r="G69" s="5" t="n"/>
      <c r="H69" s="5" t="n"/>
    </row>
    <row r="70" ht="22" customHeight="1">
      <c r="A70" s="6" t="inlineStr">
        <is>
          <t>Punto</t>
        </is>
      </c>
      <c r="B70" s="6" t="inlineStr">
        <is>
          <t>F1 = x²+y²−z</t>
        </is>
      </c>
      <c r="C70" s="6" t="inlineStr">
        <is>
          <t>F2 = x²+y²+z²−2</t>
        </is>
      </c>
      <c r="D70" s="6" t="inlineStr">
        <is>
          <t>F3 = 3y+z−1</t>
        </is>
      </c>
      <c r="E70" s="6" t="inlineStr">
        <is>
          <t>¿Solución?</t>
        </is>
      </c>
    </row>
    <row r="71">
      <c r="A71" s="28" t="inlineStr">
        <is>
          <t>(1, 0, 0)</t>
        </is>
      </c>
      <c r="B71" s="17">
        <f>(1)^2+(0)^2-(0)</f>
        <v/>
      </c>
      <c r="C71" s="17">
        <f>(1)^2+(0)^2+(0)^2-2</f>
        <v/>
      </c>
      <c r="D71" s="17">
        <f>3*(0)+(0)-1</f>
        <v/>
      </c>
      <c r="E71" s="29">
        <f>IF(AND(ABS(B71)&lt;1E-12,ABS(C71)&lt;1E-12,ABS(D71)&lt;1E-12),"SÍ","NO")</f>
        <v/>
      </c>
    </row>
    <row r="72">
      <c r="A72" s="28" t="inlineStr">
        <is>
          <t>(−1, 0, 0)</t>
        </is>
      </c>
      <c r="B72" s="17">
        <f>(-1)^2+(0)^2-(0)</f>
        <v/>
      </c>
      <c r="C72" s="17">
        <f>(-1)^2+(0)^2+(0)^2-2</f>
        <v/>
      </c>
      <c r="D72" s="17">
        <f>3*(0)+(0)-1</f>
        <v/>
      </c>
      <c r="E72" s="29">
        <f>IF(AND(ABS(B72)&lt;1E-12,ABS(C72)&lt;1E-12,ABS(D72)&lt;1E-12),"SÍ","NO")</f>
        <v/>
      </c>
    </row>
    <row r="73" ht="15" customHeight="1">
      <c r="A73" s="4" t="inlineStr">
        <is>
          <t>Conclusión de la sustitución: (±1, 0, 0) NO son soluciones. F1 = 1, F2 = −1, F3 = −1.</t>
        </is>
      </c>
      <c r="B73" s="5" t="n"/>
      <c r="C73" s="5" t="n"/>
      <c r="D73" s="5" t="n"/>
      <c r="E73" s="5" t="n"/>
      <c r="F73" s="5" t="n"/>
      <c r="G73" s="5" t="n"/>
      <c r="H73" s="5" t="n"/>
    </row>
    <row r="74" ht="15" customHeight="1">
      <c r="A74" s="4" t="inlineStr">
        <is>
          <t>DESPEJE ALGEBRAICO de las soluciones reales (esto sí se puede copiar como resolución exacta):</t>
        </is>
      </c>
      <c r="B74" s="5" t="n"/>
      <c r="C74" s="5" t="n"/>
      <c r="D74" s="5" t="n"/>
      <c r="E74" s="5" t="n"/>
      <c r="F74" s="5" t="n"/>
      <c r="G74" s="5" t="n"/>
      <c r="H74" s="5" t="n"/>
    </row>
    <row r="75" ht="15" customHeight="1">
      <c r="A75" s="4" t="inlineStr">
        <is>
          <t>Restar ec.1 de ec.2: (x²+y²+z²) − (x²+y²−z) = 2 ⇒ z² + z = 2 ⇒ z² + z − 2 = 0 ⇒ (z+2)(z−1) = 0.</t>
        </is>
      </c>
      <c r="B75" s="5" t="n"/>
      <c r="C75" s="5" t="n"/>
      <c r="D75" s="5" t="n"/>
      <c r="E75" s="5" t="n"/>
      <c r="F75" s="5" t="n"/>
      <c r="G75" s="5" t="n"/>
      <c r="H75" s="5" t="n"/>
    </row>
    <row r="76" ht="15" customHeight="1">
      <c r="A76" s="4" t="inlineStr">
        <is>
          <t>Caso z = 1: de ec.3, 3y+1 = 1 ⇒ y = 0. De ec.1, x² − 1 = 0 ⇒ x = ±1. Ec.2: 1+0+1 = 2, se cumple.</t>
        </is>
      </c>
      <c r="B76" s="5" t="n"/>
      <c r="C76" s="5" t="n"/>
      <c r="D76" s="5" t="n"/>
      <c r="E76" s="5" t="n"/>
      <c r="F76" s="5" t="n"/>
      <c r="G76" s="5" t="n"/>
      <c r="H76" s="5" t="n"/>
    </row>
    <row r="77" ht="15" customHeight="1">
      <c r="A77" s="4" t="inlineStr">
        <is>
          <t>Caso z = −2: 3y − 2 = 1 ⇒ y = 1. Ec.1: x² + 1 − (−2) = 0 ⇒ x² = −3, sin solución real.</t>
        </is>
      </c>
      <c r="B77" s="5" t="n"/>
      <c r="C77" s="5" t="n"/>
      <c r="D77" s="5" t="n"/>
      <c r="E77" s="5" t="n"/>
      <c r="F77" s="5" t="n"/>
      <c r="G77" s="5" t="n"/>
      <c r="H77" s="5" t="n"/>
    </row>
    <row r="78" ht="15" customHeight="1">
      <c r="A78" s="4" t="inlineStr">
        <is>
          <t>Soluciones reales del sistema: (1, 0, 1) y (−1, 0, 1). Abajo se comprueban con fórmulas.</t>
        </is>
      </c>
      <c r="B78" s="5" t="n"/>
      <c r="C78" s="5" t="n"/>
      <c r="D78" s="5" t="n"/>
      <c r="E78" s="5" t="n"/>
      <c r="F78" s="5" t="n"/>
      <c r="G78" s="5" t="n"/>
      <c r="H78" s="5" t="n"/>
    </row>
    <row r="79" ht="22" customHeight="1">
      <c r="A79" s="6" t="inlineStr">
        <is>
          <t>Punto real</t>
        </is>
      </c>
      <c r="B79" s="6" t="inlineStr">
        <is>
          <t>F1</t>
        </is>
      </c>
      <c r="C79" s="6" t="inlineStr">
        <is>
          <t>F2</t>
        </is>
      </c>
      <c r="D79" s="6" t="inlineStr">
        <is>
          <t>F3</t>
        </is>
      </c>
      <c r="E79" s="6" t="inlineStr">
        <is>
          <t>¿Solución?</t>
        </is>
      </c>
    </row>
    <row r="80">
      <c r="A80" s="30" t="inlineStr">
        <is>
          <t>(1, 0, 1)</t>
        </is>
      </c>
      <c r="B80" s="17">
        <f>(1)^2+(0)^2-(1)</f>
        <v/>
      </c>
      <c r="C80" s="17">
        <f>(1)^2+(0)^2+(1)^2-2</f>
        <v/>
      </c>
      <c r="D80" s="17">
        <f>3*(0)+(1)-1</f>
        <v/>
      </c>
      <c r="E80" s="23">
        <f>IF(AND(ABS(B80)&lt;1E-12,ABS(C80)&lt;1E-12,ABS(D80)&lt;1E-12),"SÍ","NO")</f>
        <v/>
      </c>
    </row>
    <row r="81">
      <c r="A81" s="30" t="inlineStr">
        <is>
          <t>(−1, 0, 1)</t>
        </is>
      </c>
      <c r="B81" s="17">
        <f>(-1)^2+(0)^2-(1)</f>
        <v/>
      </c>
      <c r="C81" s="17">
        <f>(-1)^2+(0)^2+(1)^2-2</f>
        <v/>
      </c>
      <c r="D81" s="17">
        <f>3*(0)+(1)-1</f>
        <v/>
      </c>
      <c r="E81" s="23">
        <f>IF(AND(ABS(B81)&lt;1E-12,ABS(C81)&lt;1E-12,ABS(D81)&lt;1E-12),"SÍ","NO")</f>
        <v/>
      </c>
    </row>
    <row r="83" ht="22" customHeight="1">
      <c r="A83" s="31" t="inlineStr">
        <is>
          <t>C) EVIDENCIA OCTAVE — Newton desde varios puntos de partida (corrida completa)</t>
        </is>
      </c>
      <c r="B83" s="32" t="n"/>
      <c r="C83" s="32" t="n"/>
      <c r="D83" s="32" t="n"/>
      <c r="E83" s="32" t="n"/>
      <c r="F83" s="32" t="n"/>
      <c r="G83" s="32" t="n"/>
      <c r="H83" s="32" t="n"/>
    </row>
    <row r="84" ht="15" customHeight="1">
      <c r="A84" s="3" t="inlineStr">
        <is>
          <t>Cada bloque es un punto inicial. No se recorta la tabla: se listan todas las iteraciones hasta ||F|| &lt; 1e−12.</t>
        </is>
      </c>
    </row>
    <row r="85" ht="22" customHeight="1">
      <c r="A85" s="6" t="inlineStr">
        <is>
          <t>Arranque x</t>
        </is>
      </c>
      <c r="B85" s="6" t="inlineStr">
        <is>
          <t>Arranque y</t>
        </is>
      </c>
      <c r="C85" s="6" t="inlineStr">
        <is>
          <t>Arranque z</t>
        </is>
      </c>
      <c r="D85" s="6" t="inlineStr">
        <is>
          <t>Iteraciones</t>
        </is>
      </c>
      <c r="E85" s="6" t="inlineStr">
        <is>
          <t>x final</t>
        </is>
      </c>
      <c r="F85" s="6" t="inlineStr">
        <is>
          <t>y final</t>
        </is>
      </c>
      <c r="G85" s="6" t="inlineStr">
        <is>
          <t>z final</t>
        </is>
      </c>
      <c r="H85" s="6" t="inlineStr">
        <is>
          <t>||F|| final</t>
        </is>
      </c>
    </row>
    <row r="86">
      <c r="A86" s="17" t="n">
        <v>1</v>
      </c>
      <c r="B86" s="17" t="n">
        <v>0</v>
      </c>
      <c r="C86" s="17" t="n">
        <v>0</v>
      </c>
      <c r="D86" s="33" t="n">
        <v>6</v>
      </c>
      <c r="E86" s="17" t="n">
        <v>1</v>
      </c>
      <c r="F86" s="17" t="n">
        <v>0</v>
      </c>
      <c r="G86" s="17" t="n">
        <v>1</v>
      </c>
      <c r="H86" s="17" t="n">
        <v>6.280369834735e-16</v>
      </c>
    </row>
    <row r="87">
      <c r="A87" s="17" t="n">
        <v>-1</v>
      </c>
      <c r="B87" s="17" t="n">
        <v>0</v>
      </c>
      <c r="C87" s="17" t="n">
        <v>0</v>
      </c>
      <c r="D87" s="33" t="n">
        <v>6</v>
      </c>
      <c r="E87" s="17" t="n">
        <v>-1</v>
      </c>
      <c r="F87" s="17" t="n">
        <v>0</v>
      </c>
      <c r="G87" s="17" t="n">
        <v>1</v>
      </c>
      <c r="H87" s="17" t="n">
        <v>6.280369834735e-16</v>
      </c>
    </row>
    <row r="88">
      <c r="A88" s="17" t="n">
        <v>1.2</v>
      </c>
      <c r="B88" s="17" t="n">
        <v>0.1</v>
      </c>
      <c r="C88" s="17" t="n">
        <v>0.8</v>
      </c>
      <c r="D88" s="33" t="n">
        <v>4</v>
      </c>
      <c r="E88" s="17" t="n">
        <v>1</v>
      </c>
      <c r="F88" s="17" t="n">
        <v>-0</v>
      </c>
      <c r="G88" s="17" t="n">
        <v>1</v>
      </c>
      <c r="H88" s="17" t="n">
        <v>1.19332191526e-14</v>
      </c>
    </row>
    <row r="89">
      <c r="A89" s="17" t="n">
        <v>0.5</v>
      </c>
      <c r="B89" s="17" t="n">
        <v>-0.2</v>
      </c>
      <c r="C89" s="17" t="n">
        <v>0.4</v>
      </c>
      <c r="D89" s="33" t="n">
        <v>6</v>
      </c>
      <c r="E89" s="17" t="n">
        <v>1</v>
      </c>
      <c r="F89" s="17" t="n">
        <v>0</v>
      </c>
      <c r="G89" s="17" t="n">
        <v>1</v>
      </c>
      <c r="H89" s="17" t="n">
        <v>2.719479911021e-16</v>
      </c>
    </row>
    <row r="90">
      <c r="A90" s="17" t="n">
        <v>2</v>
      </c>
      <c r="B90" s="17" t="n">
        <v>1</v>
      </c>
      <c r="C90" s="17" t="n">
        <v>-1</v>
      </c>
      <c r="D90" s="33" t="n">
        <v>25</v>
      </c>
      <c r="E90" s="17" t="n">
        <v>2.619655898369</v>
      </c>
      <c r="F90" s="17" t="n">
        <v>1</v>
      </c>
      <c r="G90" s="17" t="n">
        <v>-2</v>
      </c>
      <c r="H90" s="17" t="n">
        <v>13.94781847419</v>
      </c>
    </row>
    <row r="91">
      <c r="A91" s="17" t="n">
        <v>-1.5</v>
      </c>
      <c r="B91" s="17" t="n">
        <v>0.3</v>
      </c>
      <c r="C91" s="17" t="n">
        <v>0.5</v>
      </c>
      <c r="D91" s="33" t="n">
        <v>5</v>
      </c>
      <c r="E91" s="17" t="n">
        <v>-1</v>
      </c>
      <c r="F91" s="17" t="n">
        <v>0</v>
      </c>
      <c r="G91" s="17" t="n">
        <v>1</v>
      </c>
      <c r="H91" s="17" t="n">
        <v>0</v>
      </c>
    </row>
    <row r="92">
      <c r="A92" s="17" t="n">
        <v>1</v>
      </c>
      <c r="B92" s="17" t="n">
        <v>0</v>
      </c>
      <c r="C92" s="17" t="n">
        <v>1</v>
      </c>
      <c r="D92" s="33" t="n">
        <v>0</v>
      </c>
      <c r="E92" s="17" t="n">
        <v>1</v>
      </c>
      <c r="F92" s="17" t="n">
        <v>0</v>
      </c>
      <c r="G92" s="17" t="n">
        <v>1</v>
      </c>
      <c r="H92" s="17" t="n">
        <v>0</v>
      </c>
    </row>
    <row r="93">
      <c r="A93" s="17" t="n">
        <v>-1</v>
      </c>
      <c r="B93" s="17" t="n">
        <v>0</v>
      </c>
      <c r="C93" s="17" t="n">
        <v>1</v>
      </c>
      <c r="D93" s="33" t="n">
        <v>0</v>
      </c>
      <c r="E93" s="17" t="n">
        <v>-1</v>
      </c>
      <c r="F93" s="17" t="n">
        <v>0</v>
      </c>
      <c r="G93" s="17" t="n">
        <v>1</v>
      </c>
      <c r="H93" s="17" t="n">
        <v>0</v>
      </c>
    </row>
    <row r="95" ht="30" customHeight="1">
      <c r="A95" s="8" t="inlineStr">
        <is>
          <t>Detalle de TODAS las iteraciones del arranque pedido (1, 0, 0), para contrastar con las dos iteraciones a mano:</t>
        </is>
      </c>
      <c r="B95" s="9" t="n"/>
      <c r="C95" s="9" t="n"/>
      <c r="D95" s="9" t="n"/>
      <c r="E95" s="9" t="n"/>
      <c r="F95" s="9" t="n"/>
      <c r="G95" s="9" t="n"/>
      <c r="H95" s="9" t="n"/>
    </row>
    <row r="96" ht="22" customHeight="1">
      <c r="A96" s="6" t="inlineStr">
        <is>
          <t>k</t>
        </is>
      </c>
      <c r="B96" s="6" t="inlineStr">
        <is>
          <t>x</t>
        </is>
      </c>
      <c r="C96" s="6" t="inlineStr">
        <is>
          <t>y</t>
        </is>
      </c>
      <c r="D96" s="6" t="inlineStr">
        <is>
          <t>z</t>
        </is>
      </c>
      <c r="E96" s="6" t="inlineStr">
        <is>
          <t>F1</t>
        </is>
      </c>
      <c r="F96" s="6" t="inlineStr">
        <is>
          <t>F2</t>
        </is>
      </c>
      <c r="G96" s="6" t="inlineStr">
        <is>
          <t>F3</t>
        </is>
      </c>
      <c r="H96" s="6" t="inlineStr">
        <is>
          <t>||F||</t>
        </is>
      </c>
    </row>
    <row r="97">
      <c r="A97" s="33" t="n">
        <v>0</v>
      </c>
      <c r="B97" s="17" t="n">
        <v>1</v>
      </c>
      <c r="C97" s="17" t="n">
        <v>0</v>
      </c>
      <c r="D97" s="17" t="n">
        <v>0</v>
      </c>
      <c r="E97" s="22" t="n">
        <v>1</v>
      </c>
      <c r="F97" s="22" t="n">
        <v>-1</v>
      </c>
      <c r="G97" s="22" t="n">
        <v>-1</v>
      </c>
      <c r="H97" s="22" t="n">
        <v>1.732050807569</v>
      </c>
    </row>
    <row r="98">
      <c r="A98" s="33" t="n">
        <v>1</v>
      </c>
      <c r="B98" s="17" t="n">
        <v>1.5</v>
      </c>
      <c r="C98" s="17" t="n">
        <v>-0.333333333333</v>
      </c>
      <c r="D98" s="17" t="n">
        <v>2</v>
      </c>
      <c r="E98" s="22" t="n">
        <v>0.3611111111111</v>
      </c>
      <c r="F98" s="22" t="n">
        <v>4.361111111111</v>
      </c>
      <c r="G98" s="22" t="n">
        <v>0</v>
      </c>
      <c r="H98" s="22" t="n">
        <v>4.376036032533</v>
      </c>
    </row>
    <row r="99">
      <c r="A99" s="33" t="n">
        <v>2</v>
      </c>
      <c r="B99" s="17" t="n">
        <v>1.172222222222</v>
      </c>
      <c r="C99" s="17" t="n">
        <v>-0.066666666667</v>
      </c>
      <c r="D99" s="17" t="n">
        <v>1.2</v>
      </c>
      <c r="E99" s="22" t="n">
        <v>0.178549382716</v>
      </c>
      <c r="F99" s="22" t="n">
        <v>0.818549382716</v>
      </c>
      <c r="G99" s="22" t="n">
        <v>2.22044604925e-16</v>
      </c>
      <c r="H99" s="22" t="n">
        <v>0.837796499165</v>
      </c>
    </row>
    <row r="100">
      <c r="A100" s="33" t="n">
        <v>3</v>
      </c>
      <c r="B100" s="17" t="n">
        <v>1.019342223461</v>
      </c>
      <c r="C100" s="17" t="n">
        <v>-0.003921568627</v>
      </c>
      <c r="D100" s="17" t="n">
        <v>1.011764705882</v>
      </c>
      <c r="E100" s="22" t="n">
        <v>0.0273092413491</v>
      </c>
      <c r="F100" s="22" t="n">
        <v>0.06274176730066</v>
      </c>
      <c r="G100" s="22" t="n">
        <v>-1.110223024625e-16</v>
      </c>
      <c r="H100" s="22" t="n">
        <v>0.06842750928591</v>
      </c>
    </row>
    <row r="101">
      <c r="A101" s="33" t="n">
        <v>4</v>
      </c>
      <c r="B101" s="17" t="n">
        <v>1.000213450246</v>
      </c>
      <c r="C101" s="17" t="n">
        <v>-1.5259022e-05</v>
      </c>
      <c r="D101" s="17" t="n">
        <v>1.000045777066</v>
      </c>
      <c r="E101" s="22" t="n">
        <v>0.0003811692194686</v>
      </c>
      <c r="F101" s="22" t="n">
        <v>0.0005185025120786</v>
      </c>
      <c r="G101" s="22" t="n">
        <v>0</v>
      </c>
      <c r="H101" s="22" t="n">
        <v>0.0006435330829897</v>
      </c>
    </row>
    <row r="102">
      <c r="A102" s="33" t="n">
        <v>5</v>
      </c>
      <c r="B102" s="17" t="n">
        <v>1.000000023241</v>
      </c>
      <c r="C102" s="17" t="n">
        <v>-2.33e-10</v>
      </c>
      <c r="D102" s="17" t="n">
        <v>1.000000000698</v>
      </c>
      <c r="E102" s="22" t="n">
        <v>4.578391665788e-08</v>
      </c>
      <c r="F102" s="22" t="n">
        <v>4.787939245077e-08</v>
      </c>
      <c r="G102" s="22" t="n">
        <v>0</v>
      </c>
      <c r="H102" s="22" t="n">
        <v>6.624653384133e-08</v>
      </c>
    </row>
    <row r="103">
      <c r="A103" s="33" t="n">
        <v>6</v>
      </c>
      <c r="B103" s="17" t="n">
        <v>1</v>
      </c>
      <c r="C103" s="17" t="n">
        <v>0</v>
      </c>
      <c r="D103" s="17" t="n">
        <v>1</v>
      </c>
      <c r="E103" s="22" t="n">
        <v>4.440892098501e-16</v>
      </c>
      <c r="F103" s="22" t="n">
        <v>4.440892098501e-16</v>
      </c>
      <c r="G103" s="22" t="n">
        <v>0</v>
      </c>
      <c r="H103" s="22" t="n">
        <v>6.280369834735e-16</v>
      </c>
    </row>
    <row r="105">
      <c r="A105" s="15" t="inlineStr">
        <is>
          <t>Prueba |X2 a mano − X2 Octave|</t>
        </is>
      </c>
      <c r="B105" s="22">
        <f>ABS(B45-B99)</f>
        <v/>
      </c>
      <c r="C105" s="22">
        <f>ABS(C45-C99)</f>
        <v/>
      </c>
      <c r="D105" s="22">
        <f>ABS(D45-D99)</f>
        <v/>
      </c>
    </row>
    <row r="106">
      <c r="B106" s="23">
        <f>IF(AND(B105&lt;1E-8,C105&lt;1E-8,D105&lt;1E-8),"OK contra Octave","Revisar")</f>
        <v/>
      </c>
    </row>
    <row r="108" ht="15" customHeight="1">
      <c r="A108" s="8" t="inlineStr">
        <is>
          <t>Gráfica 1 — norma de F en escala logarítmica, todos los arranques (no se omiten los que ya son solución).</t>
        </is>
      </c>
      <c r="B108" s="9" t="n"/>
      <c r="C108" s="9" t="n"/>
      <c r="D108" s="9" t="n"/>
      <c r="E108" s="9" t="n"/>
      <c r="F108" s="9" t="n"/>
      <c r="G108" s="9" t="n"/>
      <c r="H108" s="9" t="n"/>
    </row>
    <row r="131" ht="15" customHeight="1">
      <c r="A131" s="8" t="inlineStr">
        <is>
          <t>Gráfica 2 — las dos iteraciones reales del punto fijo desde (1, 0, 0).</t>
        </is>
      </c>
      <c r="B131" s="9" t="n"/>
      <c r="C131" s="9" t="n"/>
      <c r="D131" s="9" t="n"/>
      <c r="E131" s="9" t="n"/>
      <c r="F131" s="9" t="n"/>
      <c r="G131" s="9" t="n"/>
      <c r="H131" s="9" t="n"/>
    </row>
    <row r="154" ht="22" customHeight="1">
      <c r="A154" s="31" t="inlineStr">
        <is>
          <t>EVIDENCIA OCTAVE — salida completa (texto para copiar al informe)</t>
        </is>
      </c>
      <c r="B154" s="32" t="n"/>
      <c r="C154" s="32" t="n"/>
      <c r="D154" s="32" t="n"/>
      <c r="E154" s="32" t="n"/>
      <c r="F154" s="32" t="n"/>
      <c r="G154" s="32" t="n"/>
      <c r="H154" s="32" t="n"/>
    </row>
    <row r="155" ht="14" customHeight="1">
      <c r="A155" s="34" t="inlineStr">
        <is>
          <t>EJERCICIO 1 — EVIDENCIA OCTAVE</t>
        </is>
      </c>
    </row>
    <row r="156" ht="14" customHeight="1">
      <c r="A156" s="34" t="inlineStr">
        <is>
          <t>Sistema: x^2+y^2-z=0 ; x^2+y^2+z^2=2 ; 3y+z=1</t>
        </is>
      </c>
    </row>
    <row r="157" ht="14" customHeight="1">
      <c r="A157" s="34" t="inlineStr">
        <is>
          <t>Newton: X_{k+1}=X_k - J(X_k)^{-1} F(X_k), parada ||F||&lt;1e-12 o 25 iter.</t>
        </is>
      </c>
    </row>
    <row r="158" ht="14" customHeight="1">
      <c r="A158" s="34" t="inlineStr">
        <is>
          <t> </t>
        </is>
      </c>
    </row>
    <row r="159" ht="14" customHeight="1">
      <c r="A159" s="34" t="inlineStr">
        <is>
          <t>--- NEWTON, VARIOS PUNTOS DE PARTIDA (inciso c) ---</t>
        </is>
      </c>
    </row>
    <row r="160" ht="14" customHeight="1">
      <c r="A160" s="34" t="inlineStr">
        <is>
          <t>INICIO,1.0000000000,0.0000000000,0.0000000000</t>
        </is>
      </c>
    </row>
    <row r="161" ht="14" customHeight="1">
      <c r="A161" s="34" t="inlineStr">
        <is>
          <t>ITER,0,1.000000000000,0.000000000000,0.000000000000,1.000000000000e+00,-1.000000000000e+00,-1.000000000000e+00,1.732050807569e+00</t>
        </is>
      </c>
    </row>
    <row r="162" ht="14" customHeight="1">
      <c r="A162" s="34" t="inlineStr">
        <is>
          <t>ITER,1,1.500000000000,-0.333333333333,2.000000000000,3.611111111111e-01,4.361111111111e+00,0.000000000000e+00,4.376036032533e+00</t>
        </is>
      </c>
    </row>
    <row r="163" ht="14" customHeight="1">
      <c r="A163" s="34" t="inlineStr">
        <is>
          <t>ITER,2,1.172222222222,-0.066666666667,1.200000000000,1.785493827160e-01,8.185493827160e-01,2.220446049250e-16,8.377964991650e-01</t>
        </is>
      </c>
    </row>
    <row r="164" ht="14" customHeight="1">
      <c r="A164" s="34" t="inlineStr">
        <is>
          <t>ITER,3,1.019342223461,-0.003921568627,1.011764705882,2.730924134910e-02,6.274176730066e-02,-1.110223024625e-16,6.842750928591e-02</t>
        </is>
      </c>
    </row>
    <row r="165" ht="14" customHeight="1">
      <c r="A165" s="34" t="inlineStr">
        <is>
          <t>ITER,4,1.000213450246,-0.000015259022,1.000045777066,3.811692194686e-04,5.185025120786e-04,0.000000000000e+00,6.435330829897e-04</t>
        </is>
      </c>
    </row>
    <row r="166" ht="14" customHeight="1">
      <c r="A166" s="34" t="inlineStr">
        <is>
          <t>ITER,5,1.000000023241,-0.000000000233,1.000000000698,4.578391665788e-08,4.787939245077e-08,0.000000000000e+00,6.624653384133e-08</t>
        </is>
      </c>
    </row>
    <row r="167" ht="14" customHeight="1">
      <c r="A167" s="34" t="inlineStr">
        <is>
          <t>ITER,6,1.000000000000,0.000000000000,1.000000000000,4.440892098501e-16,4.440892098501e-16,0.000000000000e+00,6.280369834735e-16</t>
        </is>
      </c>
    </row>
    <row r="168" ht="14" customHeight="1">
      <c r="A168" s="34" t="inlineStr">
        <is>
          <t>FIN,1,6,1.000000000000,0.000000000000,1.000000000000,6.280369834735e-16</t>
        </is>
      </c>
    </row>
    <row r="169" ht="14" customHeight="1">
      <c r="A169" s="34" t="inlineStr">
        <is>
          <t>INICIO,-1.0000000000,0.0000000000,0.0000000000</t>
        </is>
      </c>
    </row>
    <row r="170" ht="14" customHeight="1">
      <c r="A170" s="34" t="inlineStr">
        <is>
          <t>ITER,0,-1.000000000000,0.000000000000,0.000000000000,1.000000000000e+00,-1.000000000000e+00,-1.000000000000e+00,1.732050807569e+00</t>
        </is>
      </c>
    </row>
    <row r="171" ht="14" customHeight="1">
      <c r="A171" s="34" t="inlineStr">
        <is>
          <t>ITER,1,-1.500000000000,-0.333333333333,2.000000000000,3.611111111111e-01,4.361111111111e+00,0.000000000000e+00,4.376036032533e+00</t>
        </is>
      </c>
    </row>
    <row r="172" ht="14" customHeight="1">
      <c r="A172" s="34" t="inlineStr">
        <is>
          <t>ITER,2,-1.172222222222,-0.066666666667,1.200000000000,1.785493827160e-01,8.185493827160e-01,2.220446049250e-16,8.377964991650e-01</t>
        </is>
      </c>
    </row>
    <row r="173" ht="14" customHeight="1">
      <c r="A173" s="34" t="inlineStr">
        <is>
          <t>ITER,3,-1.019342223461,-0.003921568627,1.011764705882,2.730924134910e-02,6.274176730066e-02,-1.110223024625e-16,6.842750928591e-02</t>
        </is>
      </c>
    </row>
    <row r="174" ht="14" customHeight="1">
      <c r="A174" s="34" t="inlineStr">
        <is>
          <t>ITER,4,-1.000213450246,-0.000015259022,1.000045777066,3.811692194686e-04,5.185025120786e-04,0.000000000000e+00,6.435330829897e-04</t>
        </is>
      </c>
    </row>
    <row r="175" ht="14" customHeight="1">
      <c r="A175" s="34" t="inlineStr">
        <is>
          <t>ITER,5,-1.000000023241,-0.000000000233,1.000000000698,4.578391665788e-08,4.787939245077e-08,0.000000000000e+00,6.624653384133e-08</t>
        </is>
      </c>
    </row>
    <row r="176" ht="14" customHeight="1">
      <c r="A176" s="34" t="inlineStr">
        <is>
          <t>ITER,6,-1.000000000000,0.000000000000,1.000000000000,4.440892098501e-16,4.440892098501e-16,0.000000000000e+00,6.280369834735e-16</t>
        </is>
      </c>
    </row>
    <row r="177" ht="14" customHeight="1">
      <c r="A177" s="34" t="inlineStr">
        <is>
          <t>FIN,1,6,-1.000000000000,0.000000000000,1.000000000000,6.280369834735e-16</t>
        </is>
      </c>
    </row>
    <row r="178" ht="14" customHeight="1">
      <c r="A178" s="34" t="inlineStr">
        <is>
          <t>INICIO,1.2000000000,0.1000000000,0.8000000000</t>
        </is>
      </c>
    </row>
    <row r="179" ht="14" customHeight="1">
      <c r="A179" s="34" t="inlineStr">
        <is>
          <t>ITER,0,1.200000000000,0.100000000000,0.800000000000,6.500000000000e-01,9.000000000000e-02,1.000000000000e-01,6.637770710110e-01</t>
        </is>
      </c>
    </row>
    <row r="180" ht="14" customHeight="1">
      <c r="A180" s="34" t="inlineStr">
        <is>
          <t>ITER,1,1.027670940171,-0.005128205128,1.015384615385,4.074924437505e-02,8.713977691942e-02,-1.110223024625e-16,9.619688996378e-02</t>
        </is>
      </c>
    </row>
    <row r="181" ht="14" customHeight="1">
      <c r="A181" s="34" t="inlineStr">
        <is>
          <t>ITER,2,1.000423193305,-0.000026031498,1.000078094494,7.684718850447e-04,1.002761466809e-03,0.000000000000e+00,1.263360438443e-03</t>
        </is>
      </c>
    </row>
    <row r="182" ht="14" customHeight="1">
      <c r="A182" s="34" t="inlineStr">
        <is>
          <t>ITER,3,1.000000090863,-0.000000000678,1.000000002033,1.796932795894e-07,1.857917117931e-07,0.000000000000e+00,2.584728900690e-07</t>
        </is>
      </c>
    </row>
    <row r="183" ht="14" customHeight="1">
      <c r="A183" s="34" t="inlineStr">
        <is>
          <t>ITER,4,1.000000000000,-0.000000000000,1.000000000000,8.437694987151e-15,8.437694987151e-15,-1.110223024625e-16,1.193321915260e-14</t>
        </is>
      </c>
    </row>
    <row r="184" ht="14" customHeight="1">
      <c r="A184" s="34" t="inlineStr">
        <is>
          <t>FIN,1,4,1.000000000000,-0.000000000000,1.000000000000,1.193321915260e-14</t>
        </is>
      </c>
    </row>
    <row r="185" ht="14" customHeight="1">
      <c r="A185" s="34" t="inlineStr">
        <is>
          <t>INICIO,0.5000000000,-0.2000000000,0.4000000000</t>
        </is>
      </c>
    </row>
    <row r="186" ht="14" customHeight="1">
      <c r="A186" s="34" t="inlineStr">
        <is>
          <t>ITER,0,0.500000000000,-0.200000000000,0.400000000000,-1.100000000000e-01,-1.550000000000e+00,-1.200000000000e+00,1.963313525650e+00</t>
        </is>
      </c>
    </row>
    <row r="187" ht="14" customHeight="1">
      <c r="A187" s="34" t="inlineStr">
        <is>
          <t>ITER,1,1.463333333333,-0.066666666667,1.200000000000,9.457888888889e-01,1.585788888889e+00,2.220446049250e-16,1.846413556728e+00</t>
        </is>
      </c>
    </row>
    <row r="188" ht="14" customHeight="1">
      <c r="A188" s="34" t="inlineStr">
        <is>
          <t>ITER,2,1.078712090759,-0.003921568627,1.011764705882,1.518704475675e-01,1.873029735190e-01,-1.110223024625e-16,2.411369667501e-01</t>
        </is>
      </c>
    </row>
    <row r="189" ht="14" customHeight="1">
      <c r="A189" s="34" t="inlineStr">
        <is>
          <t>ITER,3,1.002900045977,-0.000015259022,1.000045777066,5.762725388676e-03,5.900058681286e-03,0.000000000000e+00,8.247405431280e-03</t>
        </is>
      </c>
    </row>
    <row r="190" ht="14" customHeight="1">
      <c r="A190" s="34" t="inlineStr">
        <is>
          <t>ITER,4,1.000004193438,-0.000000000233,1.000000000698,8.386194761512e-06,8.388290237527e-06,0.000000000000e+00,1.186135218628e-05</t>
        </is>
      </c>
    </row>
    <row r="191" ht="14" customHeight="1">
      <c r="A191" s="34" t="inlineStr">
        <is>
          <t>ITER,5,1.000000000009,0.000000000000,1.000000000000,1.758515555395e-11,1.758504453164e-11,0.000000000000e+00,2.486908697633e-11</t>
        </is>
      </c>
    </row>
    <row r="192" ht="14" customHeight="1">
      <c r="A192" s="34" t="inlineStr">
        <is>
          <t>ITER,6,1.000000000000,0.000000000000,1.000000000000,1.110223024625e-16,-2.220446049250e-16,-1.110223024625e-16,2.719479911021e-16</t>
        </is>
      </c>
    </row>
    <row r="193" ht="14" customHeight="1">
      <c r="A193" s="34" t="inlineStr">
        <is>
          <t>FIN,1,6,1.000000000000,0.000000000000,1.000000000000,2.719479911021e-16</t>
        </is>
      </c>
    </row>
    <row r="194" ht="14" customHeight="1">
      <c r="A194" s="34" t="inlineStr">
        <is>
          <t>INICIO,2.0000000000,1.0000000000,-1.0000000000</t>
        </is>
      </c>
    </row>
    <row r="195" ht="14" customHeight="1">
      <c r="A195" s="34" t="inlineStr">
        <is>
          <t>ITER,0,2.000000000000,1.000000000000,-1.000000000000,6.000000000000e+00,4.000000000000e+00,1.000000000000e+00,7.280109889281e+00</t>
        </is>
      </c>
    </row>
    <row r="196" ht="14" customHeight="1">
      <c r="A196" s="34" t="inlineStr">
        <is>
          <t>ITER,1,-0.166666666667,1.333333333333,-3.000000000000,4.805555555556e+00,8.805555555556e+00,0.000000000000e+00,1.003150900112e+01</t>
        </is>
      </c>
    </row>
    <row r="197" ht="14" customHeight="1">
      <c r="A197" s="34" t="inlineStr">
        <is>
          <t>ITER,2,9.716666666667,1.066666666667,-2.200000000000,9.775138888889e+01,9.839138888889e+01,0.000000000000e+00,1.386946265621e+02</t>
        </is>
      </c>
    </row>
    <row r="198" ht="14" customHeight="1">
      <c r="A198" s="34" t="inlineStr">
        <is>
          <t>ITER,3,4.703152221437,1.003921568627,-2.011764705882,2.513926403985e+01,2.517469656580e+01,0.000000000000e+00,3.557735155468e+01</t>
        </is>
      </c>
    </row>
    <row r="199" ht="14" customHeight="1">
      <c r="A199" s="34" t="inlineStr">
        <is>
          <t>ITER,4,2.032634590772,1.000015259022,-2.000045777066,7.131679674947e+00,7.131817008240e+00,-4.440892098501e-16,1.008581522858e+01</t>
        </is>
      </c>
    </row>
    <row r="200" ht="14" customHeight="1">
      <c r="A200" s="34" t="inlineStr">
        <is>
          <t>ITER,5,0.278358782196,1.000000000233,-2.000000000698,3.077483612790e+00,3.077483614885e+00,0.000000000000e+00,4.352219064670e+00</t>
        </is>
      </c>
    </row>
    <row r="201" ht="14" customHeight="1">
      <c r="A201" s="34" t="inlineStr">
        <is>
          <t>ITER,6,-5.249549457932,1.000000000000,-2.000000000000,3.055776951127e+01,3.055776951127e+01,0.000000000000e+00,4.321521207871e+01</t>
        </is>
      </c>
    </row>
    <row r="202" ht="14" customHeight="1">
      <c r="A202" s="34" t="inlineStr">
        <is>
          <t>ITER,7,-2.339035921851,1.000000000000,-2.000000000000,8.471089043709e+00,8.471089043709e+00,0.000000000000e+00,1.197992901368e+01</t>
        </is>
      </c>
    </row>
    <row r="203" ht="14" customHeight="1">
      <c r="A203" s="34" t="inlineStr">
        <is>
          <t>ITER,8,-0.528228108988,1.000000000000,-2.000000000000,3.279024935125e+00,3.279024935125e+00,0.000000000000e+00,4.637241534614e+00</t>
        </is>
      </c>
    </row>
    <row r="204" ht="14" customHeight="1">
      <c r="A204" s="34" t="inlineStr">
        <is>
          <t>ITER,9,2.575568223819,1.000000000000,-2.000000000000,9.633551675544e+00,9.633551675544e+00,0.000000000000e+00,1.362389943338e+01</t>
        </is>
      </c>
    </row>
    <row r="205" ht="14" customHeight="1">
      <c r="A205" s="34" t="inlineStr">
        <is>
          <t>ITER,10,0.705388357012,1.000000000000,-2.000000000000,3.497572734208e+00,3.497572734208e+00,0.000000000000e+00,4.946314796104e+00</t>
        </is>
      </c>
    </row>
    <row r="206" ht="14" customHeight="1">
      <c r="A206" s="34" t="inlineStr">
        <is>
          <t>ITER,11,-1.773793996538,1.000000000000,-2.000000000000,6.146345142155e+00,6.146345142155e+00,0.000000000000e+00,8.692244659061e+00</t>
        </is>
      </c>
    </row>
    <row r="207" ht="14" customHeight="1">
      <c r="A207" s="34" t="inlineStr">
        <is>
          <t>ITER,12,-0.041252011914,1.000000000000,-2.000000000000,3.001701728487e+00,3.001701728487e+00,-4.440892098501e-16,4.245047294625e+00</t>
        </is>
      </c>
    </row>
    <row r="208" ht="14" customHeight="1">
      <c r="A208" s="34" t="inlineStr">
        <is>
          <t>ITER,13,36.341236856483,1.000000000000,-2.000000000000,1.323685496259e+03,1.323685496259e+03,0.000000000000e+00,1.871973981126e+03</t>
        </is>
      </c>
    </row>
    <row r="209" ht="14" customHeight="1">
      <c r="A209" s="34" t="inlineStr">
        <is>
          <t>ITER,14,18.129343003139,1.000000000000,-2.000000000000,3.316730777255e+02,3.316730777255e+02,0.000000000000e+00,4.690565647934e+02</t>
        </is>
      </c>
    </row>
    <row r="210" ht="14" customHeight="1">
      <c r="A210" s="34" t="inlineStr">
        <is>
          <t>ITER,15,8.981932706251,1.000000000000,-2.000000000000,8.367511513962e+01,8.367511513962e+01,0.000000000000e+00,1.183344826636e+02</t>
        </is>
      </c>
    </row>
    <row r="211" ht="14" customHeight="1">
      <c r="A211" s="34" t="inlineStr">
        <is>
          <t>ITER,16,4.323964433933,1.000000000000,-2.000000000000,2.169666842592e+01,2.169666842592e+01,0.000000000000e+00,3.068372274625e+01</t>
        </is>
      </c>
    </row>
    <row r="212" ht="14" customHeight="1">
      <c r="A212" s="34" t="inlineStr">
        <is>
          <t>ITER,17,1.815078346012,1.000000000000,-2.000000000000,6.294509402163e+00,6.294509402163e+00,0.000000000000e+00,8.901780565023e+00</t>
        </is>
      </c>
    </row>
    <row r="213" ht="14" customHeight="1">
      <c r="A213" s="34" t="inlineStr">
        <is>
          <t>ITER,18,0.081128564728,1.000000000000,-2.000000000000,3.006581844015e+00,3.006581844015e+00,0.000000000000e+00,4.251948820191e+00</t>
        </is>
      </c>
    </row>
    <row r="214" ht="14" customHeight="1">
      <c r="A214" s="34" t="inlineStr">
        <is>
          <t>ITER,19,-18.448607873267,1.000000000000,-2.000000000000,3.433511324616e+02,3.433511324616e+02,0.000000000000e+00,4.855718281833e+02</t>
        </is>
      </c>
    </row>
    <row r="215" ht="14" customHeight="1">
      <c r="A215" s="34" t="inlineStr">
        <is>
          <t>ITER,20,-9.142996988689,1.000000000000,-2.000000000000,8.659439393518e+01,8.659439393518e+01,2.220446049250e-16,1.224629663286e+02</t>
        </is>
      </c>
    </row>
    <row r="216" ht="14" customHeight="1">
      <c r="A216" s="34" t="inlineStr">
        <is>
          <t>ITER,21,-4.407438503747,1.000000000000,-2.000000000000,2.242551416431e+01,2.242551416431e+01,-2.220446049250e-16,3.171446627436e+01</t>
        </is>
      </c>
    </row>
    <row r="217" ht="14" customHeight="1">
      <c r="A217" s="34" t="inlineStr">
        <is>
          <t>ITER,22,-1.863385518635,1.000000000000,-2.000000000000,6.472205591058e+00,6.472205591058e+00,0.000000000000e+00,9.153080925341e+00</t>
        </is>
      </c>
    </row>
    <row r="218" ht="14" customHeight="1">
      <c r="A218" s="34" t="inlineStr">
        <is>
          <t>ITER,23,-0.126706359563,1.000000000000,-2.000000000000,3.016054501554e+00,3.016054501554e+00,-4.440892098501e-16,4.265345180954e+00</t>
        </is>
      </c>
    </row>
    <row r="219" ht="14" customHeight="1">
      <c r="A219" s="34" t="inlineStr">
        <is>
          <t>ITER,24,11.775042344895,1.000000000000,-2.000000000000,1.416516222241e+02,1.416516222241e+02,0.000000000000e+00,2.003256452814e+02</t>
        </is>
      </c>
    </row>
    <row r="220" ht="14" customHeight="1">
      <c r="A220" s="34" t="inlineStr">
        <is>
          <t>ITER,25,5.760133095525,1.000000000000,-2.000000000000,3.617913327816e+01,3.617913327816e+01,0.000000000000e+00,5.116502095688e+01</t>
        </is>
      </c>
    </row>
    <row r="221" ht="14" customHeight="1">
      <c r="A221" s="34" t="inlineStr">
        <is>
          <t>FIN,1,25,2.619655898369,1.000000000000,-2.000000000000,1.394781847419e+01</t>
        </is>
      </c>
    </row>
    <row r="222" ht="14" customHeight="1">
      <c r="A222" s="34" t="inlineStr">
        <is>
          <t>INICIO,-1.5000000000,0.3000000000,0.5000000000</t>
        </is>
      </c>
    </row>
    <row r="223" ht="14" customHeight="1">
      <c r="A223" s="34" t="inlineStr">
        <is>
          <t>ITER,0,-1.500000000000,0.300000000000,0.500000000000,1.840000000000e+00,5.900000000000e-01,4.000000000000e-01,1.973246056629e+00</t>
        </is>
      </c>
    </row>
    <row r="224" ht="14" customHeight="1">
      <c r="A224" s="34" t="inlineStr">
        <is>
          <t>ITER,1,-1.163333333333,-0.041666666667,1.125000000000,2.300805555556e-01,6.207055555556e-01,0.000000000000e+00,6.619761693160e-01</t>
        </is>
      </c>
    </row>
    <row r="225" ht="14" customHeight="1">
      <c r="A225" s="34" t="inlineStr">
        <is>
          <t>ITER,2,-1.014221218132,-0.001602564103,1.004807692308,2.383955521397e-02,3.828574604237e-02,0.000000000000e+00,4.510124990308e-02</t>
        </is>
      </c>
    </row>
    <row r="226" ht="14" customHeight="1">
      <c r="A226" s="34" t="inlineStr">
        <is>
          <t>ITER,3,-1.000104751837,-0.000002560007,1.000007680020,2.018346337773e-04,2.248747517424e-04,0.000000000000e+00,3.021686174361e-04</t>
        </is>
      </c>
    </row>
    <row r="227" ht="14" customHeight="1">
      <c r="A227" s="34" t="inlineStr">
        <is>
          <t>ITER,4,-1.000000005499,-0.000000000007,1.000000000020,1.097834867458e-08,1.103733149321e-08,0.000000000000e+00,1.556749260838e-08</t>
        </is>
      </c>
    </row>
    <row r="228" ht="14" customHeight="1">
      <c r="A228" s="34" t="inlineStr">
        <is>
          <t>ITER,5,-1.000000000000,0.000000000000,1.000000000000,0.000000000000e+00,0.000000000000e+00,0.000000000000e+00,0.000000000000e+00</t>
        </is>
      </c>
    </row>
    <row r="229" ht="14" customHeight="1">
      <c r="A229" s="34" t="inlineStr">
        <is>
          <t>FIN,1,5,-1.000000000000,0.000000000000,1.000000000000,0.000000000000e+00</t>
        </is>
      </c>
    </row>
    <row r="230" ht="14" customHeight="1">
      <c r="A230" s="34" t="inlineStr">
        <is>
          <t>INICIO,1.0000000000,0.0000000000,1.0000000000</t>
        </is>
      </c>
    </row>
    <row r="231" ht="14" customHeight="1">
      <c r="A231" s="34" t="inlineStr">
        <is>
          <t>ITER,0,1.000000000000,0.000000000000,1.000000000000,0.000000000000e+00,0.000000000000e+00,0.000000000000e+00,0.000000000000e+00</t>
        </is>
      </c>
    </row>
    <row r="232" ht="14" customHeight="1">
      <c r="A232" s="34" t="inlineStr">
        <is>
          <t>FIN,1,0,1.000000000000,0.000000000000,1.000000000000,0.000000000000e+00</t>
        </is>
      </c>
    </row>
    <row r="233" ht="14" customHeight="1">
      <c r="A233" s="34" t="inlineStr">
        <is>
          <t>INICIO,-1.0000000000,0.0000000000,1.0000000000</t>
        </is>
      </c>
    </row>
    <row r="234" ht="14" customHeight="1">
      <c r="A234" s="34" t="inlineStr">
        <is>
          <t>ITER,0,-1.000000000000,0.000000000000,1.000000000000,0.000000000000e+00,0.000000000000e+00,0.000000000000e+00,0.000000000000e+00</t>
        </is>
      </c>
    </row>
    <row r="235" ht="14" customHeight="1">
      <c r="A235" s="34" t="inlineStr">
        <is>
          <t>FIN,1,0,-1.000000000000,0.000000000000,1.000000000000,0.000000000000e+00</t>
        </is>
      </c>
    </row>
    <row r="236" ht="14" customHeight="1">
      <c r="A236" s="34" t="inlineStr">
        <is>
          <t> </t>
        </is>
      </c>
    </row>
    <row r="237" ht="14" customHeight="1">
      <c r="A237" s="34" t="inlineStr">
        <is>
          <t>--- PUNTO FIJO (despeje usado en el Excel) ---</t>
        </is>
      </c>
    </row>
    <row r="238" ht="14" customHeight="1">
      <c r="A238" s="34" t="inlineStr">
        <is>
          <t>x=sqrt(2-y^2-z^2)  [ec.2, rama positiva]; y=(1-z)/3 [ec.3]; z=x^2+y^2 [ec.1]</t>
        </is>
      </c>
    </row>
    <row r="239" ht="14" customHeight="1">
      <c r="A239" s="34" t="inlineStr">
        <is>
          <t>FP,0,1.000000000000,0.000000000000,0.000000000000,2.000000000000</t>
        </is>
      </c>
    </row>
    <row r="240" ht="14" customHeight="1">
      <c r="A240" s="34" t="inlineStr">
        <is>
          <t>FP,1,1.414213562373,0.333333333333,1.000000000000,0.888888888889</t>
        </is>
      </c>
    </row>
    <row r="241" ht="14" customHeight="1">
      <c r="A241" s="34" t="inlineStr">
        <is>
          <t>FP,2,0.942809041582,0.000000000000,2.111111111111,-2.456790123457</t>
        </is>
      </c>
    </row>
    <row r="242" ht="14" customHeight="1">
      <c r="A242" s="34" t="inlineStr">
        <is>
          <t>FP_STOP,argumento negativo: no hay iteracion real siguiente</t>
        </is>
      </c>
    </row>
  </sheetData>
  <mergeCells count="140">
    <mergeCell ref="A229:H229"/>
    <mergeCell ref="A77:H77"/>
    <mergeCell ref="A83:H83"/>
    <mergeCell ref="A201:H201"/>
    <mergeCell ref="A157:H157"/>
    <mergeCell ref="A222:H222"/>
    <mergeCell ref="A6:H6"/>
    <mergeCell ref="A69:H69"/>
    <mergeCell ref="A25:H25"/>
    <mergeCell ref="A196:H196"/>
    <mergeCell ref="A174:H174"/>
    <mergeCell ref="A205:H205"/>
    <mergeCell ref="A183:H183"/>
    <mergeCell ref="A66:H66"/>
    <mergeCell ref="A75:H75"/>
    <mergeCell ref="A189:H189"/>
    <mergeCell ref="A158:H158"/>
    <mergeCell ref="A198:H198"/>
    <mergeCell ref="A238:H238"/>
    <mergeCell ref="A3:H3"/>
    <mergeCell ref="A55:H55"/>
    <mergeCell ref="A239:H239"/>
    <mergeCell ref="A95:H95"/>
    <mergeCell ref="A160:H160"/>
    <mergeCell ref="A175:H175"/>
    <mergeCell ref="A5:H5"/>
    <mergeCell ref="A159:H159"/>
    <mergeCell ref="A224:H224"/>
    <mergeCell ref="A200:H200"/>
    <mergeCell ref="A161:H161"/>
    <mergeCell ref="A13:H13"/>
    <mergeCell ref="A170:H170"/>
    <mergeCell ref="A202:H202"/>
    <mergeCell ref="A58:H58"/>
    <mergeCell ref="A15:H15"/>
    <mergeCell ref="A186:H186"/>
    <mergeCell ref="A24:H24"/>
    <mergeCell ref="A73:H73"/>
    <mergeCell ref="A51:H51"/>
    <mergeCell ref="A226:H226"/>
    <mergeCell ref="A241:H241"/>
    <mergeCell ref="A197:H197"/>
    <mergeCell ref="A228:H228"/>
    <mergeCell ref="A237:H237"/>
    <mergeCell ref="A7:H7"/>
    <mergeCell ref="A172:H172"/>
    <mergeCell ref="A16:H16"/>
    <mergeCell ref="A187:H187"/>
    <mergeCell ref="A212:H212"/>
    <mergeCell ref="A221:H221"/>
    <mergeCell ref="A108:H108"/>
    <mergeCell ref="A84:H84"/>
    <mergeCell ref="A236:H236"/>
    <mergeCell ref="A214:H214"/>
    <mergeCell ref="A18:H18"/>
    <mergeCell ref="A163:H163"/>
    <mergeCell ref="A223:H223"/>
    <mergeCell ref="A2:H2"/>
    <mergeCell ref="A204:H204"/>
    <mergeCell ref="A213:H213"/>
    <mergeCell ref="A188:H188"/>
    <mergeCell ref="A22:H22"/>
    <mergeCell ref="A206:H206"/>
    <mergeCell ref="A215:H215"/>
    <mergeCell ref="A20:H20"/>
    <mergeCell ref="A190:H190"/>
    <mergeCell ref="A28:H28"/>
    <mergeCell ref="A199:H199"/>
    <mergeCell ref="A167:H167"/>
    <mergeCell ref="A176:H176"/>
    <mergeCell ref="A232:H232"/>
    <mergeCell ref="A59:H59"/>
    <mergeCell ref="A182:H182"/>
    <mergeCell ref="A191:H191"/>
    <mergeCell ref="A169:H169"/>
    <mergeCell ref="A225:H225"/>
    <mergeCell ref="A178:H178"/>
    <mergeCell ref="A162:H162"/>
    <mergeCell ref="A227:H227"/>
    <mergeCell ref="A54:H54"/>
    <mergeCell ref="A177:H177"/>
    <mergeCell ref="A217:H217"/>
    <mergeCell ref="A164:H164"/>
    <mergeCell ref="A74:H74"/>
    <mergeCell ref="A56:H56"/>
    <mergeCell ref="A26:H26"/>
    <mergeCell ref="A154:H154"/>
    <mergeCell ref="A179:H179"/>
    <mergeCell ref="A242:H242"/>
    <mergeCell ref="A195:H195"/>
    <mergeCell ref="A76:H76"/>
    <mergeCell ref="A203:H203"/>
    <mergeCell ref="A8:H8"/>
    <mergeCell ref="A17:H17"/>
    <mergeCell ref="A131:H131"/>
    <mergeCell ref="A53:H53"/>
    <mergeCell ref="A231:H231"/>
    <mergeCell ref="A180:H180"/>
    <mergeCell ref="A240:H240"/>
    <mergeCell ref="A10:H10"/>
    <mergeCell ref="A19:H19"/>
    <mergeCell ref="A68:H68"/>
    <mergeCell ref="A230:H230"/>
    <mergeCell ref="A173:H173"/>
    <mergeCell ref="A9:H9"/>
    <mergeCell ref="A166:H166"/>
    <mergeCell ref="A207:H207"/>
    <mergeCell ref="A11:H11"/>
    <mergeCell ref="A1:H1"/>
    <mergeCell ref="A216:H216"/>
    <mergeCell ref="A168:H168"/>
    <mergeCell ref="A78:H78"/>
    <mergeCell ref="A218:H218"/>
    <mergeCell ref="A193:H193"/>
    <mergeCell ref="A233:H233"/>
    <mergeCell ref="A37:H37"/>
    <mergeCell ref="A46:H46"/>
    <mergeCell ref="A208:H208"/>
    <mergeCell ref="A21:H21"/>
    <mergeCell ref="A192:H192"/>
    <mergeCell ref="A57:H57"/>
    <mergeCell ref="A235:H235"/>
    <mergeCell ref="A210:H210"/>
    <mergeCell ref="A14:H14"/>
    <mergeCell ref="A185:H185"/>
    <mergeCell ref="A219:H219"/>
    <mergeCell ref="A23:H23"/>
    <mergeCell ref="A194:H194"/>
    <mergeCell ref="A234:H234"/>
    <mergeCell ref="A181:H181"/>
    <mergeCell ref="A4:H4"/>
    <mergeCell ref="A209:H209"/>
    <mergeCell ref="A184:H184"/>
    <mergeCell ref="A156:H156"/>
    <mergeCell ref="A171:H171"/>
    <mergeCell ref="A52:H52"/>
    <mergeCell ref="A165:H165"/>
    <mergeCell ref="A155:H155"/>
    <mergeCell ref="A211:H211"/>
    <mergeCell ref="A220:H220"/>
  </mergeCells>
  <pageMargins left="0.4" right="0.4" top="0.6" bottom="0.5" header="0.25" footer="0.25"/>
  <pageSetup orientation="landscape" paperSize="3" fitToHeight="0" fitToWidth="1"/>
  <headerFooter>
    <oddHeader>&amp;LMétodos numéricos — examen modelo U2</oddHeader>
    <oddFooter>&amp;RHoja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H240"/>
  <sheetViews>
    <sheetView showGridLines="0" zoomScale="11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2" customHeight="1">
      <c r="A1" s="1" t="inlineStr">
        <is>
          <t>FACULTAD DE INGENIERÍA Y ARQUITECTURA</t>
        </is>
      </c>
      <c r="B1" s="2" t="n"/>
      <c r="C1" s="2" t="n"/>
      <c r="D1" s="2" t="n"/>
      <c r="E1" s="2" t="n"/>
      <c r="F1" s="2" t="n"/>
      <c r="G1" s="2" t="n"/>
      <c r="H1" s="2" t="n"/>
    </row>
    <row r="2" ht="22" customHeight="1">
      <c r="A2" s="1" t="inlineStr">
        <is>
          <t>EXAMEN DE UNIDAD DE MÉTODOS NUMÉRICOS  ·  Mg. Jessica Perez Rivera</t>
        </is>
      </c>
      <c r="B2" s="2" t="n"/>
      <c r="C2" s="2" t="n"/>
      <c r="D2" s="2" t="n"/>
      <c r="E2" s="2" t="n"/>
      <c r="F2" s="2" t="n"/>
      <c r="G2" s="2" t="n"/>
      <c r="H2" s="2" t="n"/>
    </row>
    <row r="3" ht="15" customHeight="1">
      <c r="A3" s="3" t="inlineStr">
        <is>
          <t>Nombre: ______________________________________________</t>
        </is>
      </c>
    </row>
    <row r="4" ht="22" customHeight="1">
      <c r="A4" s="10" t="inlineStr">
        <is>
          <t>EJERCICIO 2 — Jacobi y Gauss-Seidel, aritmética exacta</t>
        </is>
      </c>
      <c r="B4" s="11" t="n"/>
      <c r="C4" s="11" t="n"/>
      <c r="D4" s="11" t="n"/>
      <c r="E4" s="11" t="n"/>
      <c r="F4" s="11" t="n"/>
      <c r="G4" s="11" t="n"/>
      <c r="H4" s="11" t="n"/>
    </row>
    <row r="5" ht="22" customHeight="1">
      <c r="A5" s="12" t="inlineStr">
        <is>
          <t>ENUNCIADO (transcrito del PDF del examen modelo)</t>
        </is>
      </c>
      <c r="B5" s="11" t="n"/>
      <c r="C5" s="11" t="n"/>
      <c r="D5" s="11" t="n"/>
      <c r="E5" s="11" t="n"/>
      <c r="F5" s="11" t="n"/>
      <c r="G5" s="11" t="n"/>
      <c r="H5" s="11" t="n"/>
    </row>
    <row r="6" ht="30" customHeight="1">
      <c r="A6" s="3" t="inlineStr">
        <is>
          <t>Reorganizar el sistema para que sea estrictamente diagonalmente dominante (E.D.D.), o lo más parecido posible:</t>
        </is>
      </c>
    </row>
    <row r="7" ht="15" customHeight="1">
      <c r="A7" s="3" t="inlineStr">
        <is>
          <t>−x + 4y − 2z = 7</t>
        </is>
      </c>
    </row>
    <row r="8" ht="15" customHeight="1">
      <c r="A8" s="3" t="inlineStr">
        <is>
          <t>−y + 2z = 0</t>
        </is>
      </c>
    </row>
    <row r="9" ht="15" customHeight="1">
      <c r="A9" s="3" t="inlineStr">
        <is>
          <t>−3x − z = 2</t>
        </is>
      </c>
    </row>
    <row r="10" ht="30" customHeight="1">
      <c r="A10" s="3" t="inlineStr">
        <is>
          <t>Estudiar convergencia o divergencia de Jacobi y de Gauss-Seidel. Justificar. Calcular dos iteraciones. Aritmética exacta.</t>
        </is>
      </c>
    </row>
    <row r="11" ht="15" customHeight="1">
      <c r="A11" s="3" t="inlineStr">
        <is>
          <t>El enunciado no da el vector inicial: se toma (0, 0, 0), que es el valor usual cuando no se indica otro.</t>
        </is>
      </c>
    </row>
    <row r="13" ht="22" customHeight="1">
      <c r="A13" s="13" t="inlineStr">
        <is>
          <t>DESARROLLO PARA COPIAR — por qué se reordenan las ecuaciones</t>
        </is>
      </c>
      <c r="B13" s="14" t="n"/>
      <c r="C13" s="14" t="n"/>
      <c r="D13" s="14" t="n"/>
      <c r="E13" s="14" t="n"/>
      <c r="F13" s="14" t="n"/>
      <c r="G13" s="14" t="n"/>
      <c r="H13" s="14" t="n"/>
    </row>
    <row r="14" ht="15" customHeight="1">
      <c r="A14" s="4" t="inlineStr">
        <is>
          <t>Criterio suficiente: |a_ii| &gt; suma de |a_ij| con j distinto de i, en cada fila (E.D.D. estricta).</t>
        </is>
      </c>
      <c r="B14" s="5" t="n"/>
      <c r="C14" s="5" t="n"/>
      <c r="D14" s="5" t="n"/>
      <c r="E14" s="5" t="n"/>
      <c r="F14" s="5" t="n"/>
      <c r="G14" s="5" t="n"/>
      <c r="H14" s="5" t="n"/>
    </row>
    <row r="15" ht="15" customHeight="1">
      <c r="A15" s="4" t="inlineStr">
        <is>
          <t>Orden original (ec.1, ec.2, ec.3) para las incógnitas (x, y, z):</t>
        </is>
      </c>
      <c r="B15" s="5" t="n"/>
      <c r="C15" s="5" t="n"/>
      <c r="D15" s="5" t="n"/>
      <c r="E15" s="5" t="n"/>
      <c r="F15" s="5" t="n"/>
      <c r="G15" s="5" t="n"/>
      <c r="H15" s="5" t="n"/>
    </row>
    <row r="16" ht="15" customHeight="1">
      <c r="A16" s="4" t="inlineStr">
        <is>
          <t>Fila x: |−1| = 1  contra  |4| + |−2| = 6.   No.</t>
        </is>
      </c>
      <c r="B16" s="5" t="n"/>
      <c r="C16" s="5" t="n"/>
      <c r="D16" s="5" t="n"/>
      <c r="E16" s="5" t="n"/>
      <c r="F16" s="5" t="n"/>
      <c r="G16" s="5" t="n"/>
      <c r="H16" s="5" t="n"/>
    </row>
    <row r="17" ht="15" customHeight="1">
      <c r="A17" s="4" t="inlineStr">
        <is>
          <t>Fila y: |−1| = 1  contra  |2| = 2.   No.</t>
        </is>
      </c>
      <c r="B17" s="5" t="n"/>
      <c r="C17" s="5" t="n"/>
      <c r="D17" s="5" t="n"/>
      <c r="E17" s="5" t="n"/>
      <c r="F17" s="5" t="n"/>
      <c r="G17" s="5" t="n"/>
      <c r="H17" s="5" t="n"/>
    </row>
    <row r="18" ht="15" customHeight="1">
      <c r="A18" s="4" t="inlineStr">
        <is>
          <t>Fila z: |−1| = 1  contra  |−3| = 3.   No.</t>
        </is>
      </c>
      <c r="B18" s="5" t="n"/>
      <c r="C18" s="5" t="n"/>
      <c r="D18" s="5" t="n"/>
      <c r="E18" s="5" t="n"/>
      <c r="F18" s="5" t="n"/>
      <c r="G18" s="5" t="n"/>
      <c r="H18" s="5" t="n"/>
    </row>
    <row r="19" ht="15" customHeight="1">
      <c r="A19" s="4" t="inlineStr">
        <is>
          <t>La ecuación con mayor coeficiente en x es la tercera (|−3|). En y, la primera (|4|). En z, la segunda (|2|).</t>
        </is>
      </c>
      <c r="B19" s="5" t="n"/>
      <c r="C19" s="5" t="n"/>
      <c r="D19" s="5" t="n"/>
      <c r="E19" s="5" t="n"/>
      <c r="F19" s="5" t="n"/>
      <c r="G19" s="5" t="n"/>
      <c r="H19" s="5" t="n"/>
    </row>
    <row r="20" ht="15" customHeight="1">
      <c r="A20" s="4" t="inlineStr">
        <is>
          <t>Sistema reordenado:</t>
        </is>
      </c>
      <c r="B20" s="5" t="n"/>
      <c r="C20" s="5" t="n"/>
      <c r="D20" s="5" t="n"/>
      <c r="E20" s="5" t="n"/>
      <c r="F20" s="5" t="n"/>
      <c r="G20" s="5" t="n"/>
      <c r="H20" s="5" t="n"/>
    </row>
    <row r="21" ht="15" customHeight="1">
      <c r="A21" s="4" t="inlineStr">
        <is>
          <t>−3x − z = 2</t>
        </is>
      </c>
      <c r="B21" s="5" t="n"/>
      <c r="C21" s="5" t="n"/>
      <c r="D21" s="5" t="n"/>
      <c r="E21" s="5" t="n"/>
      <c r="F21" s="5" t="n"/>
      <c r="G21" s="5" t="n"/>
      <c r="H21" s="5" t="n"/>
    </row>
    <row r="22" ht="15" customHeight="1">
      <c r="A22" s="4" t="inlineStr">
        <is>
          <t>−x + 4y − 2z = 7</t>
        </is>
      </c>
      <c r="B22" s="5" t="n"/>
      <c r="C22" s="5" t="n"/>
      <c r="D22" s="5" t="n"/>
      <c r="E22" s="5" t="n"/>
      <c r="F22" s="5" t="n"/>
      <c r="G22" s="5" t="n"/>
      <c r="H22" s="5" t="n"/>
    </row>
    <row r="23" ht="15" customHeight="1">
      <c r="A23" s="4" t="inlineStr">
        <is>
          <t>−y + 2z = 0</t>
        </is>
      </c>
      <c r="B23" s="5" t="n"/>
      <c r="C23" s="5" t="n"/>
      <c r="D23" s="5" t="n"/>
      <c r="E23" s="5" t="n"/>
      <c r="F23" s="5" t="n"/>
      <c r="G23" s="5" t="n"/>
      <c r="H23" s="5" t="n"/>
    </row>
    <row r="24" ht="30" customHeight="1">
      <c r="A24" s="4" t="inlineStr">
        <is>
          <t>Fila x: 3 &gt; 1.   Fila y: 4 &gt; 1+2.   Fila z: 2 &gt; 1.   Es E.D.D. estricta, así que Jacobi y Gauss-Seidel convergen.</t>
        </is>
      </c>
      <c r="B24" s="5" t="n"/>
      <c r="C24" s="5" t="n"/>
      <c r="D24" s="5" t="n"/>
      <c r="E24" s="5" t="n"/>
      <c r="F24" s="5" t="n"/>
      <c r="G24" s="5" t="n"/>
      <c r="H24" s="5" t="n"/>
    </row>
    <row r="25" ht="15" customHeight="1">
      <c r="A25" s="4" t="inlineStr">
        <is>
          <t>DESPEJE (las fórmulas de las celdas son este despeje):</t>
        </is>
      </c>
      <c r="B25" s="5" t="n"/>
      <c r="C25" s="5" t="n"/>
      <c r="D25" s="5" t="n"/>
      <c r="E25" s="5" t="n"/>
      <c r="F25" s="5" t="n"/>
      <c r="G25" s="5" t="n"/>
      <c r="H25" s="5" t="n"/>
    </row>
    <row r="26" ht="15" customHeight="1">
      <c r="A26" s="4" t="inlineStr">
        <is>
          <t>x = (−2 − z) / 3     porque −3x = 2 + z.</t>
        </is>
      </c>
      <c r="B26" s="5" t="n"/>
      <c r="C26" s="5" t="n"/>
      <c r="D26" s="5" t="n"/>
      <c r="E26" s="5" t="n"/>
      <c r="F26" s="5" t="n"/>
      <c r="G26" s="5" t="n"/>
      <c r="H26" s="5" t="n"/>
    </row>
    <row r="27" ht="15" customHeight="1">
      <c r="A27" s="4" t="inlineStr">
        <is>
          <t>y = (7 + x + 2z) / 4     porque 4y = 7 + x + 2z.</t>
        </is>
      </c>
      <c r="B27" s="5" t="n"/>
      <c r="C27" s="5" t="n"/>
      <c r="D27" s="5" t="n"/>
      <c r="E27" s="5" t="n"/>
      <c r="F27" s="5" t="n"/>
      <c r="G27" s="5" t="n"/>
      <c r="H27" s="5" t="n"/>
    </row>
    <row r="28" ht="15" customHeight="1">
      <c r="A28" s="4" t="inlineStr">
        <is>
          <t>z = y / 2     porque 2z = y.</t>
        </is>
      </c>
      <c r="B28" s="5" t="n"/>
      <c r="C28" s="5" t="n"/>
      <c r="D28" s="5" t="n"/>
      <c r="E28" s="5" t="n"/>
      <c r="F28" s="5" t="n"/>
      <c r="G28" s="5" t="n"/>
      <c r="H28" s="5" t="n"/>
    </row>
    <row r="29" ht="15" customHeight="1">
      <c r="A29" s="4" t="inlineStr">
        <is>
          <t>Jacobi usa solo la iteración anterior. Gauss-Seidel usa el x nuevo al calcular y, y el y nuevo al calcular z.</t>
        </is>
      </c>
      <c r="B29" s="5" t="n"/>
      <c r="C29" s="5" t="n"/>
      <c r="D29" s="5" t="n"/>
      <c r="E29" s="5" t="n"/>
      <c r="F29" s="5" t="n"/>
      <c r="G29" s="5" t="n"/>
      <c r="H29" s="5" t="n"/>
    </row>
    <row r="30" ht="15" customHeight="1">
      <c r="A30" s="4" t="inlineStr">
        <is>
          <t>Dos iteraciones desde (0,0,0), en fracciones:</t>
        </is>
      </c>
      <c r="B30" s="5" t="n"/>
      <c r="C30" s="5" t="n"/>
      <c r="D30" s="5" t="n"/>
      <c r="E30" s="5" t="n"/>
      <c r="F30" s="5" t="n"/>
      <c r="G30" s="5" t="n"/>
      <c r="H30" s="5" t="n"/>
    </row>
    <row r="31" ht="15" customHeight="1">
      <c r="A31" s="4" t="inlineStr">
        <is>
          <t>Jacobi 1: x = −2/3 , y = 7/4 , z = 0.</t>
        </is>
      </c>
      <c r="B31" s="5" t="n"/>
      <c r="C31" s="5" t="n"/>
      <c r="D31" s="5" t="n"/>
      <c r="E31" s="5" t="n"/>
      <c r="F31" s="5" t="n"/>
      <c r="G31" s="5" t="n"/>
      <c r="H31" s="5" t="n"/>
    </row>
    <row r="32" ht="15" customHeight="1">
      <c r="A32" s="4" t="inlineStr">
        <is>
          <t>Jacobi 2: x = −2/3 , y = (7 − 2/3)/4 = 19/12 , z = (7/4)/2 = 7/8.</t>
        </is>
      </c>
      <c r="B32" s="5" t="n"/>
      <c r="C32" s="5" t="n"/>
      <c r="D32" s="5" t="n"/>
      <c r="E32" s="5" t="n"/>
      <c r="F32" s="5" t="n"/>
      <c r="G32" s="5" t="n"/>
      <c r="H32" s="5" t="n"/>
    </row>
    <row r="33" ht="15" customHeight="1">
      <c r="A33" s="4" t="inlineStr">
        <is>
          <t>Gauss-Seidel 1: x = −2/3 , y = (7 − 2/3)/4 = 19/12 , z = (19/12)/2 = 19/24.</t>
        </is>
      </c>
      <c r="B33" s="5" t="n"/>
      <c r="C33" s="5" t="n"/>
      <c r="D33" s="5" t="n"/>
      <c r="E33" s="5" t="n"/>
      <c r="F33" s="5" t="n"/>
      <c r="G33" s="5" t="n"/>
      <c r="H33" s="5" t="n"/>
    </row>
    <row r="34" ht="15" customHeight="1">
      <c r="A34" s="4" t="inlineStr">
        <is>
          <t>Gauss-Seidel 2: x = (−2 − 19/24)/3 = −67/72 , y = (7 − 67/72 + 19/12)/4 = 551/288 , z = 551/576.</t>
        </is>
      </c>
      <c r="B34" s="5" t="n"/>
      <c r="C34" s="5" t="n"/>
      <c r="D34" s="5" t="n"/>
      <c r="E34" s="5" t="n"/>
      <c r="F34" s="5" t="n"/>
      <c r="G34" s="5" t="n"/>
      <c r="H34" s="5" t="n"/>
    </row>
    <row r="35" ht="15" customHeight="1">
      <c r="A35" s="4" t="inlineStr">
        <is>
          <t>Solución exacta del sistema reordenado (para la prueba): x = −1 , y = 2 , z = 1.</t>
        </is>
      </c>
      <c r="B35" s="5" t="n"/>
      <c r="C35" s="5" t="n"/>
      <c r="D35" s="5" t="n"/>
      <c r="E35" s="5" t="n"/>
      <c r="F35" s="5" t="n"/>
      <c r="G35" s="5" t="n"/>
      <c r="H35" s="5" t="n"/>
    </row>
    <row r="36" ht="22" customHeight="1">
      <c r="A36" s="13" t="inlineStr">
        <is>
          <t>Comprobación del criterio E.D.D. con fórmulas (matriz reordenada)</t>
        </is>
      </c>
      <c r="B36" s="14" t="n"/>
      <c r="C36" s="14" t="n"/>
      <c r="D36" s="14" t="n"/>
      <c r="E36" s="14" t="n"/>
      <c r="F36" s="14" t="n"/>
      <c r="G36" s="14" t="n"/>
      <c r="H36" s="14" t="n"/>
    </row>
    <row r="37" ht="22" customHeight="1">
      <c r="A37" s="6" t="inlineStr">
        <is>
          <t>Ecuación</t>
        </is>
      </c>
      <c r="B37" s="6" t="inlineStr">
        <is>
          <t>a_x</t>
        </is>
      </c>
      <c r="C37" s="6" t="inlineStr">
        <is>
          <t>a_y</t>
        </is>
      </c>
      <c r="D37" s="6" t="inlineStr">
        <is>
          <t>a_z</t>
        </is>
      </c>
      <c r="E37" s="6" t="inlineStr">
        <is>
          <t>b</t>
        </is>
      </c>
      <c r="F37" s="6" t="inlineStr">
        <is>
          <t>|a_ii|</t>
        </is>
      </c>
      <c r="G37" s="6" t="inlineStr">
        <is>
          <t>suma |fuera|</t>
        </is>
      </c>
      <c r="H37" s="6" t="inlineStr">
        <is>
          <t>¿EDD?</t>
        </is>
      </c>
    </row>
    <row r="38">
      <c r="A38" s="24" t="inlineStr">
        <is>
          <t>fila 1</t>
        </is>
      </c>
      <c r="B38" s="35" t="n">
        <v>-3</v>
      </c>
      <c r="C38" s="35" t="n">
        <v>0</v>
      </c>
      <c r="D38" s="35" t="n">
        <v>-1</v>
      </c>
      <c r="E38" s="35" t="n">
        <v>2</v>
      </c>
      <c r="F38" s="35">
        <f>ABS(B38)</f>
        <v/>
      </c>
      <c r="G38" s="35">
        <f>ABS(C38)+ABS(D38)</f>
        <v/>
      </c>
      <c r="H38" s="29">
        <f>IF(F38&gt;G38,"SÍ","NO")</f>
        <v/>
      </c>
    </row>
    <row r="39">
      <c r="A39" s="24" t="inlineStr">
        <is>
          <t>fila 2</t>
        </is>
      </c>
      <c r="B39" s="35" t="n">
        <v>-1</v>
      </c>
      <c r="C39" s="35" t="n">
        <v>4</v>
      </c>
      <c r="D39" s="35" t="n">
        <v>-2</v>
      </c>
      <c r="E39" s="35" t="n">
        <v>7</v>
      </c>
      <c r="F39" s="35">
        <f>ABS(C39)</f>
        <v/>
      </c>
      <c r="G39" s="35">
        <f>ABS(B39)+ABS(D39)</f>
        <v/>
      </c>
      <c r="H39" s="29">
        <f>IF(F39&gt;G39,"SÍ","NO")</f>
        <v/>
      </c>
    </row>
    <row r="40">
      <c r="A40" s="24" t="inlineStr">
        <is>
          <t>fila 3</t>
        </is>
      </c>
      <c r="B40" s="35" t="n">
        <v>0</v>
      </c>
      <c r="C40" s="35" t="n">
        <v>-1</v>
      </c>
      <c r="D40" s="35" t="n">
        <v>2</v>
      </c>
      <c r="E40" s="35" t="n">
        <v>0</v>
      </c>
      <c r="F40" s="35">
        <f>ABS(D40)</f>
        <v/>
      </c>
      <c r="G40" s="35">
        <f>ABS(B40)+ABS(C40)</f>
        <v/>
      </c>
      <c r="H40" s="29">
        <f>IF(F40&gt;G40,"SÍ","NO")</f>
        <v/>
      </c>
    </row>
    <row r="42" ht="22" customHeight="1">
      <c r="A42" s="13" t="inlineStr">
        <is>
          <t>Jacobi — dos iteraciones (fórmulas = despeje; al lado, la fracción exacta)</t>
        </is>
      </c>
      <c r="B42" s="14" t="n"/>
      <c r="C42" s="14" t="n"/>
      <c r="D42" s="14" t="n"/>
      <c r="E42" s="14" t="n"/>
      <c r="F42" s="14" t="n"/>
      <c r="G42" s="14" t="n"/>
      <c r="H42" s="14" t="n"/>
    </row>
    <row r="43" ht="22" customHeight="1">
      <c r="A43" s="6" t="inlineStr">
        <is>
          <t>k</t>
        </is>
      </c>
      <c r="B43" s="6" t="inlineStr">
        <is>
          <t>x</t>
        </is>
      </c>
      <c r="C43" s="6" t="inlineStr">
        <is>
          <t>y</t>
        </is>
      </c>
      <c r="D43" s="6" t="inlineStr">
        <is>
          <t>z</t>
        </is>
      </c>
      <c r="E43" s="6" t="inlineStr">
        <is>
          <t>fracción x</t>
        </is>
      </c>
      <c r="F43" s="6" t="inlineStr">
        <is>
          <t>fracción y</t>
        </is>
      </c>
      <c r="G43" s="6" t="inlineStr">
        <is>
          <t>fracción z</t>
        </is>
      </c>
      <c r="H43" s="6" t="inlineStr"/>
    </row>
    <row r="44">
      <c r="A44" s="24" t="n">
        <v>0</v>
      </c>
      <c r="B44" s="25" t="n">
        <v>0</v>
      </c>
      <c r="C44" s="25" t="n">
        <v>0</v>
      </c>
      <c r="D44" s="25" t="n">
        <v>0</v>
      </c>
      <c r="E44" s="24" t="inlineStr">
        <is>
          <t>0</t>
        </is>
      </c>
      <c r="F44" s="24" t="inlineStr">
        <is>
          <t>0</t>
        </is>
      </c>
      <c r="G44" s="24" t="inlineStr">
        <is>
          <t>0</t>
        </is>
      </c>
    </row>
    <row r="45">
      <c r="A45" s="24" t="n">
        <v>1</v>
      </c>
      <c r="B45" s="19">
        <f>(-2-D44)/3</f>
        <v/>
      </c>
      <c r="C45" s="19">
        <f>(7+B44+2*D44)/4</f>
        <v/>
      </c>
      <c r="D45" s="19">
        <f>C44/2</f>
        <v/>
      </c>
      <c r="E45" s="24" t="inlineStr">
        <is>
          <t>-2/3</t>
        </is>
      </c>
      <c r="F45" s="24" t="inlineStr">
        <is>
          <t>7/4</t>
        </is>
      </c>
      <c r="G45" s="24" t="inlineStr">
        <is>
          <t>0</t>
        </is>
      </c>
    </row>
    <row r="46">
      <c r="A46" s="24" t="n">
        <v>2</v>
      </c>
      <c r="B46" s="19">
        <f>(-2-D45)/3</f>
        <v/>
      </c>
      <c r="C46" s="19">
        <f>(7+B45+2*D45)/4</f>
        <v/>
      </c>
      <c r="D46" s="19">
        <f>C45/2</f>
        <v/>
      </c>
      <c r="E46" s="24" t="inlineStr">
        <is>
          <t>-2/3</t>
        </is>
      </c>
      <c r="F46" s="24" t="inlineStr">
        <is>
          <t>19/12</t>
        </is>
      </c>
      <c r="G46" s="24" t="inlineStr">
        <is>
          <t>7/8</t>
        </is>
      </c>
    </row>
    <row r="48">
      <c r="A48" s="15" t="inlineStr">
        <is>
          <t>Prueba Jacobi 2 vs fracciones</t>
        </is>
      </c>
      <c r="B48" s="22">
        <f>ABS(B46-(-2/3))</f>
        <v/>
      </c>
      <c r="C48" s="22">
        <f>ABS(C46-(19/12))</f>
        <v/>
      </c>
      <c r="D48" s="22">
        <f>ABS(D46-(7/8))</f>
        <v/>
      </c>
    </row>
    <row r="49">
      <c r="B49" s="23">
        <f>IF(AND(B48&lt;1E-12,C48&lt;1E-12,D48&lt;1E-12),"OK","Revisar")</f>
        <v/>
      </c>
    </row>
    <row r="51" ht="22" customHeight="1">
      <c r="A51" s="13" t="inlineStr">
        <is>
          <t>Gauss-Seidel — dos iteraciones (usa el valor recién calculado)</t>
        </is>
      </c>
      <c r="B51" s="14" t="n"/>
      <c r="C51" s="14" t="n"/>
      <c r="D51" s="14" t="n"/>
      <c r="E51" s="14" t="n"/>
      <c r="F51" s="14" t="n"/>
      <c r="G51" s="14" t="n"/>
      <c r="H51" s="14" t="n"/>
    </row>
    <row r="52" ht="22" customHeight="1">
      <c r="A52" s="6" t="inlineStr">
        <is>
          <t>k</t>
        </is>
      </c>
      <c r="B52" s="6" t="inlineStr">
        <is>
          <t>x</t>
        </is>
      </c>
      <c r="C52" s="6" t="inlineStr">
        <is>
          <t>y</t>
        </is>
      </c>
      <c r="D52" s="6" t="inlineStr">
        <is>
          <t>z</t>
        </is>
      </c>
      <c r="E52" s="6" t="inlineStr">
        <is>
          <t>fracción x</t>
        </is>
      </c>
      <c r="F52" s="6" t="inlineStr">
        <is>
          <t>fracción y</t>
        </is>
      </c>
      <c r="G52" s="6" t="inlineStr">
        <is>
          <t>fracción z</t>
        </is>
      </c>
      <c r="H52" s="6" t="inlineStr"/>
    </row>
    <row r="53">
      <c r="A53" s="24" t="n">
        <v>0</v>
      </c>
      <c r="B53" s="25" t="n">
        <v>0</v>
      </c>
      <c r="C53" s="25" t="n">
        <v>0</v>
      </c>
      <c r="D53" s="25" t="n">
        <v>0</v>
      </c>
      <c r="E53" s="24" t="inlineStr">
        <is>
          <t>0</t>
        </is>
      </c>
      <c r="F53" s="24" t="inlineStr">
        <is>
          <t>0</t>
        </is>
      </c>
      <c r="G53" s="24" t="inlineStr">
        <is>
          <t>0</t>
        </is>
      </c>
    </row>
    <row r="54">
      <c r="A54" s="24" t="n">
        <v>1</v>
      </c>
      <c r="B54" s="19">
        <f>(-2-D53)/3</f>
        <v/>
      </c>
      <c r="C54" s="19">
        <f>(7+B54+2*D53)/4</f>
        <v/>
      </c>
      <c r="D54" s="19">
        <f>C54/2</f>
        <v/>
      </c>
      <c r="E54" s="24" t="inlineStr">
        <is>
          <t>-2/3</t>
        </is>
      </c>
      <c r="F54" s="24" t="inlineStr">
        <is>
          <t>19/12</t>
        </is>
      </c>
      <c r="G54" s="24" t="inlineStr">
        <is>
          <t>19/24</t>
        </is>
      </c>
    </row>
    <row r="55">
      <c r="A55" s="24" t="n">
        <v>2</v>
      </c>
      <c r="B55" s="19">
        <f>(-2-D54)/3</f>
        <v/>
      </c>
      <c r="C55" s="19">
        <f>(7+B55+2*D54)/4</f>
        <v/>
      </c>
      <c r="D55" s="19">
        <f>C55/2</f>
        <v/>
      </c>
      <c r="E55" s="24" t="inlineStr">
        <is>
          <t>-67/72</t>
        </is>
      </c>
      <c r="F55" s="24" t="inlineStr">
        <is>
          <t>551/288</t>
        </is>
      </c>
      <c r="G55" s="24" t="inlineStr">
        <is>
          <t>551/576</t>
        </is>
      </c>
    </row>
    <row r="57">
      <c r="A57" s="15" t="inlineStr">
        <is>
          <t>Prueba GS 2 vs fracciones</t>
        </is>
      </c>
      <c r="B57" s="22">
        <f>ABS(B55-(-67/72))</f>
        <v/>
      </c>
      <c r="C57" s="22">
        <f>ABS(C55-(551/288))</f>
        <v/>
      </c>
      <c r="D57" s="22">
        <f>ABS(D55-(551/576))</f>
        <v/>
      </c>
    </row>
    <row r="58">
      <c r="B58" s="23">
        <f>IF(AND(B57&lt;1E-12,C57&lt;1E-12,D57&lt;1E-12),"OK","Revisar")</f>
        <v/>
      </c>
    </row>
    <row r="60" ht="22" customHeight="1">
      <c r="A60" s="31" t="inlineStr">
        <is>
          <t>EVIDENCIA OCTAVE — no solo dos iteraciones: hasta error &lt; 1e−10, y el radio espectral</t>
        </is>
      </c>
      <c r="B60" s="32" t="n"/>
      <c r="C60" s="32" t="n"/>
      <c r="D60" s="32" t="n"/>
      <c r="E60" s="32" t="n"/>
      <c r="F60" s="32" t="n"/>
      <c r="G60" s="32" t="n"/>
      <c r="H60" s="32" t="n"/>
    </row>
    <row r="61">
      <c r="A61" s="15" t="inlineStr">
        <is>
          <t>ρ(B Jacobi)</t>
        </is>
      </c>
      <c r="B61" s="36" t="n">
        <v>0.568579021302</v>
      </c>
      <c r="C61" s="15" t="inlineStr">
        <is>
          <t>ρ(B Gauss-Seidel)</t>
        </is>
      </c>
      <c r="D61" s="36" t="n">
        <v>0.208333333333</v>
      </c>
    </row>
    <row r="62">
      <c r="A62" s="15" t="inlineStr">
        <is>
          <t>¿ρ &lt; 1? (converge)</t>
        </is>
      </c>
      <c r="B62" s="23">
        <f>IF(AND(B61&lt;1,D61&lt;1),"SÍ, ambos","Revisar")</f>
        <v/>
      </c>
    </row>
    <row r="63">
      <c r="A63" s="15" t="inlineStr">
        <is>
          <t>Solución exacta x, y, z</t>
        </is>
      </c>
      <c r="B63" s="19" t="n">
        <v>-1</v>
      </c>
      <c r="C63" s="19" t="n">
        <v>2</v>
      </c>
      <c r="D63" s="19" t="n">
        <v>1</v>
      </c>
    </row>
    <row r="65" ht="15" customHeight="1">
      <c r="A65" s="8" t="inlineStr">
        <is>
          <t>Tabla completa de Jacobi (todas las iteraciones de la corrida):</t>
        </is>
      </c>
      <c r="B65" s="9" t="n"/>
      <c r="C65" s="9" t="n"/>
      <c r="D65" s="9" t="n"/>
      <c r="E65" s="9" t="n"/>
      <c r="F65" s="9" t="n"/>
      <c r="G65" s="9" t="n"/>
      <c r="H65" s="9" t="n"/>
    </row>
    <row r="66" ht="22" customHeight="1">
      <c r="A66" s="6" t="inlineStr">
        <is>
          <t>k</t>
        </is>
      </c>
      <c r="B66" s="6" t="inlineStr">
        <is>
          <t>x</t>
        </is>
      </c>
      <c r="C66" s="6" t="inlineStr">
        <is>
          <t>y</t>
        </is>
      </c>
      <c r="D66" s="6" t="inlineStr">
        <is>
          <t>z</t>
        </is>
      </c>
      <c r="E66" s="6" t="inlineStr">
        <is>
          <t>error máx.</t>
        </is>
      </c>
    </row>
    <row r="67">
      <c r="A67" s="33" t="n">
        <v>1</v>
      </c>
      <c r="B67" s="17" t="n">
        <v>-0.666666666667</v>
      </c>
      <c r="C67" s="17" t="n">
        <v>1.75</v>
      </c>
      <c r="D67" s="17" t="n">
        <v>0</v>
      </c>
      <c r="E67" s="22" t="n">
        <v>1</v>
      </c>
    </row>
    <row r="68">
      <c r="A68" s="33" t="n">
        <v>2</v>
      </c>
      <c r="B68" s="17" t="n">
        <v>-0.666666666667</v>
      </c>
      <c r="C68" s="17" t="n">
        <v>1.583333333333</v>
      </c>
      <c r="D68" s="17" t="n">
        <v>0.875</v>
      </c>
      <c r="E68" s="22" t="n">
        <v>0.4166666666667</v>
      </c>
    </row>
    <row r="69">
      <c r="A69" s="33" t="n">
        <v>3</v>
      </c>
      <c r="B69" s="17" t="n">
        <v>-0.958333333333</v>
      </c>
      <c r="C69" s="17" t="n">
        <v>2.020833333333</v>
      </c>
      <c r="D69" s="17" t="n">
        <v>0.791666666667</v>
      </c>
      <c r="E69" s="22" t="n">
        <v>0.2083333333333</v>
      </c>
    </row>
    <row r="70">
      <c r="A70" s="33" t="n">
        <v>4</v>
      </c>
      <c r="B70" s="17" t="n">
        <v>-0.930555555556</v>
      </c>
      <c r="C70" s="17" t="n">
        <v>1.90625</v>
      </c>
      <c r="D70" s="17" t="n">
        <v>1.010416666667</v>
      </c>
      <c r="E70" s="22" t="n">
        <v>0.09375</v>
      </c>
    </row>
    <row r="71">
      <c r="A71" s="33" t="n">
        <v>5</v>
      </c>
      <c r="B71" s="17" t="n">
        <v>-1.003472222222</v>
      </c>
      <c r="C71" s="17" t="n">
        <v>2.022569444444</v>
      </c>
      <c r="D71" s="17" t="n">
        <v>0.953125</v>
      </c>
      <c r="E71" s="22" t="n">
        <v>0.046875</v>
      </c>
    </row>
    <row r="72">
      <c r="A72" s="33" t="n">
        <v>6</v>
      </c>
      <c r="B72" s="17" t="n">
        <v>-0.984375</v>
      </c>
      <c r="C72" s="17" t="n">
        <v>1.975694444444</v>
      </c>
      <c r="D72" s="17" t="n">
        <v>1.011284722222</v>
      </c>
      <c r="E72" s="22" t="n">
        <v>0.02430555555556</v>
      </c>
    </row>
    <row r="73">
      <c r="A73" s="33" t="n">
        <v>7</v>
      </c>
      <c r="B73" s="17" t="n">
        <v>-1.003761574074</v>
      </c>
      <c r="C73" s="17" t="n">
        <v>2.009548611111</v>
      </c>
      <c r="D73" s="17" t="n">
        <v>0.9878472222220001</v>
      </c>
      <c r="E73" s="22" t="n">
        <v>0.01215277777778</v>
      </c>
    </row>
    <row r="74">
      <c r="A74" s="33" t="n">
        <v>8</v>
      </c>
      <c r="B74" s="17" t="n">
        <v>-0.995949074074</v>
      </c>
      <c r="C74" s="17" t="n">
        <v>1.992983217593</v>
      </c>
      <c r="D74" s="17" t="n">
        <v>1.004774305556</v>
      </c>
      <c r="E74" s="22" t="n">
        <v>0.007016782407407</v>
      </c>
    </row>
    <row r="75">
      <c r="A75" s="33" t="n">
        <v>9</v>
      </c>
      <c r="B75" s="17" t="n">
        <v>-1.001591435185</v>
      </c>
      <c r="C75" s="17" t="n">
        <v>2.003399884259</v>
      </c>
      <c r="D75" s="17" t="n">
        <v>0.996491608796</v>
      </c>
      <c r="E75" s="22" t="n">
        <v>0.003508391203704</v>
      </c>
    </row>
    <row r="76">
      <c r="A76" s="33" t="n">
        <v>10</v>
      </c>
      <c r="B76" s="17" t="n">
        <v>-0.998830536265</v>
      </c>
      <c r="C76" s="17" t="n">
        <v>1.997847945602</v>
      </c>
      <c r="D76" s="17" t="n">
        <v>1.00169994213</v>
      </c>
      <c r="E76" s="22" t="n">
        <v>0.002152054398148</v>
      </c>
    </row>
    <row r="77">
      <c r="A77" s="33" t="n">
        <v>11</v>
      </c>
      <c r="B77" s="17" t="n">
        <v>-1.000566647377</v>
      </c>
      <c r="C77" s="17" t="n">
        <v>2.001142336998</v>
      </c>
      <c r="D77" s="17" t="n">
        <v>0.998923972801</v>
      </c>
      <c r="E77" s="22" t="n">
        <v>0.001142336998457</v>
      </c>
    </row>
    <row r="78">
      <c r="A78" s="33" t="n">
        <v>12</v>
      </c>
      <c r="B78" s="17" t="n">
        <v>-0.999641324267</v>
      </c>
      <c r="C78" s="17" t="n">
        <v>1.999320324556</v>
      </c>
      <c r="D78" s="17" t="n">
        <v>1.000571168499</v>
      </c>
      <c r="E78" s="22" t="n">
        <v>0.0006796754436729</v>
      </c>
    </row>
    <row r="79">
      <c r="A79" s="33" t="n">
        <v>13</v>
      </c>
      <c r="B79" s="17" t="n">
        <v>-1.0001903895</v>
      </c>
      <c r="C79" s="17" t="n">
        <v>2.000375253183</v>
      </c>
      <c r="D79" s="17" t="n">
        <v>0.999660162278</v>
      </c>
      <c r="E79" s="22" t="n">
        <v>0.0003752531828702</v>
      </c>
    </row>
    <row r="80">
      <c r="A80" s="33" t="n">
        <v>14</v>
      </c>
      <c r="B80" s="17" t="n">
        <v>-0.999886720759</v>
      </c>
      <c r="C80" s="17" t="n">
        <v>1.999782483764</v>
      </c>
      <c r="D80" s="17" t="n">
        <v>1.000187626591</v>
      </c>
      <c r="E80" s="22" t="n">
        <v>0.0002175162358538</v>
      </c>
    </row>
    <row r="81">
      <c r="A81" s="33" t="n">
        <v>15</v>
      </c>
      <c r="B81" s="17" t="n">
        <v>-1.000062542197</v>
      </c>
      <c r="C81" s="17" t="n">
        <v>2.000122133106</v>
      </c>
      <c r="D81" s="17" t="n">
        <v>0.999891241882</v>
      </c>
      <c r="E81" s="22" t="n">
        <v>0.0001221331058705</v>
      </c>
    </row>
    <row r="82">
      <c r="A82" s="33" t="n">
        <v>16</v>
      </c>
      <c r="B82" s="17" t="n">
        <v>-0.9999637472939999</v>
      </c>
      <c r="C82" s="17" t="n">
        <v>1.999929985392</v>
      </c>
      <c r="D82" s="17" t="n">
        <v>1.000061066553</v>
      </c>
      <c r="E82" s="22" t="n">
        <v>7.001460824974e-05</v>
      </c>
    </row>
    <row r="83">
      <c r="A83" s="33" t="n">
        <v>17</v>
      </c>
      <c r="B83" s="17" t="n">
        <v>-1.000020355518</v>
      </c>
      <c r="C83" s="17" t="n">
        <v>2.000039596453</v>
      </c>
      <c r="D83" s="17" t="n">
        <v>0.999964992696</v>
      </c>
      <c r="E83" s="22" t="n">
        <v>3.959645296181e-05</v>
      </c>
    </row>
    <row r="84">
      <c r="A84" s="33" t="n">
        <v>18</v>
      </c>
      <c r="B84" s="17" t="n">
        <v>-0.999988330899</v>
      </c>
      <c r="C84" s="17" t="n">
        <v>1.999977407469</v>
      </c>
      <c r="D84" s="17" t="n">
        <v>1.000019798226</v>
      </c>
      <c r="E84" s="22" t="n">
        <v>2.259253147363e-05</v>
      </c>
    </row>
    <row r="85">
      <c r="A85" s="33" t="n">
        <v>19</v>
      </c>
      <c r="B85" s="17" t="n">
        <v>-1.000006599409</v>
      </c>
      <c r="C85" s="17" t="n">
        <v>2.000012816389</v>
      </c>
      <c r="D85" s="17" t="n">
        <v>0.999988703734</v>
      </c>
      <c r="E85" s="22" t="n">
        <v>1.281638858419e-05</v>
      </c>
    </row>
    <row r="86">
      <c r="A86" s="33" t="n">
        <v>20</v>
      </c>
      <c r="B86" s="17" t="n">
        <v>-0.999996234578</v>
      </c>
      <c r="C86" s="17" t="n">
        <v>1.999992702015</v>
      </c>
      <c r="D86" s="17" t="n">
        <v>1.000006408194</v>
      </c>
      <c r="E86" s="22" t="n">
        <v>7.297985075372e-06</v>
      </c>
    </row>
    <row r="87">
      <c r="A87" s="33" t="n">
        <v>21</v>
      </c>
      <c r="B87" s="17" t="n">
        <v>-1.000002136065</v>
      </c>
      <c r="C87" s="17" t="n">
        <v>2.000004145453</v>
      </c>
      <c r="D87" s="17" t="n">
        <v>0.999996351007</v>
      </c>
      <c r="E87" s="22" t="n">
        <v>4.145452623838e-06</v>
      </c>
    </row>
    <row r="88">
      <c r="A88" s="33" t="n">
        <v>22</v>
      </c>
      <c r="B88" s="17" t="n">
        <v>-0.999998783669</v>
      </c>
      <c r="C88" s="17" t="n">
        <v>1.999997641488</v>
      </c>
      <c r="D88" s="17" t="n">
        <v>1.000002072726</v>
      </c>
      <c r="E88" s="22" t="n">
        <v>2.358512459999e-06</v>
      </c>
    </row>
    <row r="89">
      <c r="A89" s="33" t="n">
        <v>23</v>
      </c>
      <c r="B89" s="17" t="n">
        <v>-1.000000690909</v>
      </c>
      <c r="C89" s="17" t="n">
        <v>2.000001340446</v>
      </c>
      <c r="D89" s="17" t="n">
        <v>0.999998820744</v>
      </c>
      <c r="E89" s="22" t="n">
        <v>1.340445867193e-06</v>
      </c>
    </row>
    <row r="90">
      <c r="A90" s="33" t="n">
        <v>24</v>
      </c>
      <c r="B90" s="17" t="n">
        <v>-0.999999606915</v>
      </c>
      <c r="C90" s="17" t="n">
        <v>1.999999237645</v>
      </c>
      <c r="D90" s="17" t="n">
        <v>1.000000670223</v>
      </c>
      <c r="E90" s="22" t="n">
        <v>7.623553075486e-07</v>
      </c>
    </row>
    <row r="91">
      <c r="A91" s="33" t="n">
        <v>25</v>
      </c>
      <c r="B91" s="17" t="n">
        <v>-1.000000223408</v>
      </c>
      <c r="C91" s="17" t="n">
        <v>2.000000433383</v>
      </c>
      <c r="D91" s="17" t="n">
        <v>0.9999996188219999</v>
      </c>
      <c r="E91" s="22" t="n">
        <v>4.333828194092e-07</v>
      </c>
    </row>
    <row r="92">
      <c r="A92" s="33" t="n">
        <v>26</v>
      </c>
      <c r="B92" s="17" t="n">
        <v>-0.999999872941</v>
      </c>
      <c r="C92" s="17" t="n">
        <v>1.999999753559</v>
      </c>
      <c r="D92" s="17" t="n">
        <v>1.000000216691</v>
      </c>
      <c r="E92" s="22" t="n">
        <v>2.464407380387e-07</v>
      </c>
    </row>
    <row r="93">
      <c r="A93" s="33" t="n">
        <v>27</v>
      </c>
      <c r="B93" s="17" t="n">
        <v>-1.00000007223</v>
      </c>
      <c r="C93" s="17" t="n">
        <v>2.000000140111</v>
      </c>
      <c r="D93" s="17" t="n">
        <v>0.99999987678</v>
      </c>
      <c r="E93" s="22" t="n">
        <v>1.401105094168e-07</v>
      </c>
    </row>
    <row r="94">
      <c r="A94" s="33" t="n">
        <v>28</v>
      </c>
      <c r="B94" s="17" t="n">
        <v>-0.999999958927</v>
      </c>
      <c r="C94" s="17" t="n">
        <v>1.999999920332</v>
      </c>
      <c r="D94" s="17" t="n">
        <v>1.000000070055</v>
      </c>
      <c r="E94" s="22" t="n">
        <v>7.966780191104e-08</v>
      </c>
    </row>
    <row r="95">
      <c r="A95" s="33" t="n">
        <v>29</v>
      </c>
      <c r="B95" s="17" t="n">
        <v>-1.000000023352</v>
      </c>
      <c r="C95" s="17" t="n">
        <v>2.000000045296</v>
      </c>
      <c r="D95" s="17" t="n">
        <v>0.999999960166</v>
      </c>
      <c r="E95" s="22" t="n">
        <v>4.529599140213e-08</v>
      </c>
    </row>
    <row r="96">
      <c r="A96" s="33" t="n">
        <v>30</v>
      </c>
      <c r="B96" s="17" t="n">
        <v>-0.999999986722</v>
      </c>
      <c r="C96" s="17" t="n">
        <v>1.999999974245</v>
      </c>
      <c r="D96" s="17" t="n">
        <v>1.000000022648</v>
      </c>
      <c r="E96" s="22" t="n">
        <v>2.575488844414e-08</v>
      </c>
    </row>
    <row r="97">
      <c r="A97" s="33" t="n">
        <v>31</v>
      </c>
      <c r="B97" s="17" t="n">
        <v>-1.000000007549</v>
      </c>
      <c r="C97" s="17" t="n">
        <v>2.000000014643</v>
      </c>
      <c r="D97" s="17" t="n">
        <v>0.999999987123</v>
      </c>
      <c r="E97" s="22" t="n">
        <v>1.464348953206e-08</v>
      </c>
    </row>
    <row r="98">
      <c r="A98" s="33" t="n">
        <v>32</v>
      </c>
      <c r="B98" s="17" t="n">
        <v>-0.999999995708</v>
      </c>
      <c r="C98" s="17" t="n">
        <v>1.999999991674</v>
      </c>
      <c r="D98" s="17" t="n">
        <v>1.000000007322</v>
      </c>
      <c r="E98" s="22" t="n">
        <v>8.326054956597999e-09</v>
      </c>
    </row>
    <row r="99">
      <c r="A99" s="33" t="n">
        <v>33</v>
      </c>
      <c r="B99" s="17" t="n">
        <v>-1.000000002441</v>
      </c>
      <c r="C99" s="17" t="n">
        <v>2.000000004734</v>
      </c>
      <c r="D99" s="17" t="n">
        <v>0.9999999958370001</v>
      </c>
      <c r="E99" s="22" t="n">
        <v>4.733992753359e-09</v>
      </c>
    </row>
    <row r="100">
      <c r="A100" s="33" t="n">
        <v>34</v>
      </c>
      <c r="B100" s="17" t="n">
        <v>-0.999999998612</v>
      </c>
      <c r="C100" s="17" t="n">
        <v>1.999999997308</v>
      </c>
      <c r="D100" s="17" t="n">
        <v>1.000000002367</v>
      </c>
      <c r="E100" s="22" t="n">
        <v>2.69165933986e-09</v>
      </c>
    </row>
    <row r="101">
      <c r="A101" s="33" t="n">
        <v>35</v>
      </c>
      <c r="B101" s="17" t="n">
        <v>-1.000000000789</v>
      </c>
      <c r="C101" s="17" t="n">
        <v>2.00000000153</v>
      </c>
      <c r="D101" s="17" t="n">
        <v>0.999999998654</v>
      </c>
      <c r="E101" s="22" t="n">
        <v>1.530417126361e-09</v>
      </c>
    </row>
    <row r="102">
      <c r="A102" s="33" t="n">
        <v>36</v>
      </c>
      <c r="B102" s="17" t="n">
        <v>-0.9999999995510001</v>
      </c>
      <c r="C102" s="17" t="n">
        <v>1.99999999913</v>
      </c>
      <c r="D102" s="17" t="n">
        <v>1.000000000765</v>
      </c>
      <c r="E102" s="22" t="n">
        <v>8.701646070364e-10</v>
      </c>
    </row>
    <row r="103">
      <c r="A103" s="33" t="n">
        <v>37</v>
      </c>
      <c r="B103" s="17" t="n">
        <v>-1.000000000255</v>
      </c>
      <c r="C103" s="17" t="n">
        <v>2.000000000495</v>
      </c>
      <c r="D103" s="17" t="n">
        <v>0.999999999565</v>
      </c>
      <c r="E103" s="22" t="n">
        <v>4.947566800695e-10</v>
      </c>
    </row>
    <row r="104">
      <c r="A104" s="33" t="n">
        <v>38</v>
      </c>
      <c r="B104" s="17" t="n">
        <v>-0.999999999855</v>
      </c>
      <c r="C104" s="17" t="n">
        <v>1.999999999719</v>
      </c>
      <c r="D104" s="17" t="n">
        <v>1.000000000247</v>
      </c>
      <c r="E104" s="22" t="n">
        <v>2.813085320241e-10</v>
      </c>
    </row>
    <row r="105">
      <c r="A105" s="33" t="n">
        <v>39</v>
      </c>
      <c r="B105" s="17" t="n">
        <v>-1.000000000082</v>
      </c>
      <c r="C105" s="17" t="n">
        <v>2.00000000016</v>
      </c>
      <c r="D105" s="17" t="n">
        <v>0.999999999859</v>
      </c>
      <c r="E105" s="22" t="n">
        <v>1.599458343549e-10</v>
      </c>
    </row>
    <row r="106">
      <c r="A106" s="33" t="n">
        <v>40</v>
      </c>
      <c r="B106" s="17" t="n">
        <v>-0.999999999953</v>
      </c>
      <c r="C106" s="17" t="n">
        <v>1.999999999909</v>
      </c>
      <c r="D106" s="17" t="n">
        <v>1.00000000008</v>
      </c>
      <c r="E106" s="22" t="n">
        <v>9.094192066073e-11</v>
      </c>
    </row>
    <row r="108" ht="15" customHeight="1">
      <c r="A108" s="8" t="inlineStr">
        <is>
          <t>Tabla completa de Gauss-Seidel:</t>
        </is>
      </c>
      <c r="B108" s="9" t="n"/>
      <c r="C108" s="9" t="n"/>
      <c r="D108" s="9" t="n"/>
      <c r="E108" s="9" t="n"/>
      <c r="F108" s="9" t="n"/>
      <c r="G108" s="9" t="n"/>
      <c r="H108" s="9" t="n"/>
    </row>
    <row r="109" ht="22" customHeight="1">
      <c r="A109" s="6" t="inlineStr">
        <is>
          <t>k</t>
        </is>
      </c>
      <c r="B109" s="6" t="inlineStr">
        <is>
          <t>x</t>
        </is>
      </c>
      <c r="C109" s="6" t="inlineStr">
        <is>
          <t>y</t>
        </is>
      </c>
      <c r="D109" s="6" t="inlineStr">
        <is>
          <t>z</t>
        </is>
      </c>
      <c r="E109" s="6" t="inlineStr">
        <is>
          <t>error máx.</t>
        </is>
      </c>
    </row>
    <row r="110">
      <c r="A110" s="33" t="n">
        <v>1</v>
      </c>
      <c r="B110" s="17" t="n">
        <v>-0.666666666667</v>
      </c>
      <c r="C110" s="17" t="n">
        <v>1.583333333333</v>
      </c>
      <c r="D110" s="17" t="n">
        <v>0.791666666667</v>
      </c>
      <c r="E110" s="22" t="n">
        <v>0.4166666666667</v>
      </c>
    </row>
    <row r="111">
      <c r="A111" s="33" t="n">
        <v>2</v>
      </c>
      <c r="B111" s="17" t="n">
        <v>-0.930555555556</v>
      </c>
      <c r="C111" s="17" t="n">
        <v>1.913194444444</v>
      </c>
      <c r="D111" s="17" t="n">
        <v>0.9565972222220001</v>
      </c>
      <c r="E111" s="22" t="n">
        <v>0.08680555555555999</v>
      </c>
    </row>
    <row r="112">
      <c r="A112" s="33" t="n">
        <v>3</v>
      </c>
      <c r="B112" s="17" t="n">
        <v>-0.985532407407</v>
      </c>
      <c r="C112" s="17" t="n">
        <v>1.981915509259</v>
      </c>
      <c r="D112" s="17" t="n">
        <v>0.99095775463</v>
      </c>
      <c r="E112" s="22" t="n">
        <v>0.01808449074074</v>
      </c>
    </row>
    <row r="113">
      <c r="A113" s="33" t="n">
        <v>4</v>
      </c>
      <c r="B113" s="17" t="n">
        <v>-0.99698591821</v>
      </c>
      <c r="C113" s="17" t="n">
        <v>1.996232397762</v>
      </c>
      <c r="D113" s="17" t="n">
        <v>0.998116198881</v>
      </c>
      <c r="E113" s="22" t="n">
        <v>0.003767602237654</v>
      </c>
    </row>
    <row r="114">
      <c r="A114" s="33" t="n">
        <v>5</v>
      </c>
      <c r="B114" s="17" t="n">
        <v>-0.999372066294</v>
      </c>
      <c r="C114" s="17" t="n">
        <v>1.999215082867</v>
      </c>
      <c r="D114" s="17" t="n">
        <v>0.999607541434</v>
      </c>
      <c r="E114" s="22" t="n">
        <v>0.0007849171328447</v>
      </c>
    </row>
    <row r="115">
      <c r="A115" s="33" t="n">
        <v>6</v>
      </c>
      <c r="B115" s="17" t="n">
        <v>-0.999869180478</v>
      </c>
      <c r="C115" s="17" t="n">
        <v>1.999836475597</v>
      </c>
      <c r="D115" s="17" t="n">
        <v>0.999918237799</v>
      </c>
      <c r="E115" s="22" t="n">
        <v>0.0001635244026759</v>
      </c>
    </row>
    <row r="116">
      <c r="A116" s="33" t="n">
        <v>7</v>
      </c>
      <c r="B116" s="17" t="n">
        <v>-0.999972745933</v>
      </c>
      <c r="C116" s="17" t="n">
        <v>1.999965932416</v>
      </c>
      <c r="D116" s="17" t="n">
        <v>0.999982966208</v>
      </c>
      <c r="E116" s="22" t="n">
        <v>3.40675838908e-05</v>
      </c>
    </row>
    <row r="117">
      <c r="A117" s="33" t="n">
        <v>8</v>
      </c>
      <c r="B117" s="17" t="n">
        <v>-0.999994322069</v>
      </c>
      <c r="C117" s="17" t="n">
        <v>1.999992902587</v>
      </c>
      <c r="D117" s="17" t="n">
        <v>0.999996451293</v>
      </c>
      <c r="E117" s="22" t="n">
        <v>7.097413310619e-06</v>
      </c>
    </row>
    <row r="118">
      <c r="A118" s="33" t="n">
        <v>9</v>
      </c>
      <c r="B118" s="17" t="n">
        <v>-0.999998817098</v>
      </c>
      <c r="C118" s="17" t="n">
        <v>1.999998521372</v>
      </c>
      <c r="D118" s="17" t="n">
        <v>0.999999260686</v>
      </c>
      <c r="E118" s="22" t="n">
        <v>1.478627772888e-06</v>
      </c>
    </row>
    <row r="119">
      <c r="A119" s="33" t="n">
        <v>10</v>
      </c>
      <c r="B119" s="17" t="n">
        <v>-0.999999753562</v>
      </c>
      <c r="C119" s="17" t="n">
        <v>1.999999691953</v>
      </c>
      <c r="D119" s="17" t="n">
        <v>0.999999845976</v>
      </c>
      <c r="E119" s="22" t="n">
        <v>3.080474526573e-07</v>
      </c>
    </row>
    <row r="120">
      <c r="A120" s="33" t="n">
        <v>11</v>
      </c>
      <c r="B120" s="17" t="n">
        <v>-0.999999948659</v>
      </c>
      <c r="C120" s="17" t="n">
        <v>1.999999935823</v>
      </c>
      <c r="D120" s="17" t="n">
        <v>0.999999967912</v>
      </c>
      <c r="E120" s="22" t="n">
        <v>6.417655251667e-08</v>
      </c>
    </row>
    <row r="121">
      <c r="A121" s="33" t="n">
        <v>12</v>
      </c>
      <c r="B121" s="17" t="n">
        <v>-0.999999989304</v>
      </c>
      <c r="C121" s="17" t="n">
        <v>1.99999998663</v>
      </c>
      <c r="D121" s="17" t="n">
        <v>0.999999993315</v>
      </c>
      <c r="E121" s="22" t="n">
        <v>1.337011523717e-08</v>
      </c>
    </row>
    <row r="122">
      <c r="A122" s="33" t="n">
        <v>13</v>
      </c>
      <c r="B122" s="17" t="n">
        <v>-0.999999997772</v>
      </c>
      <c r="C122" s="17" t="n">
        <v>1.999999997215</v>
      </c>
      <c r="D122" s="17" t="n">
        <v>0.999999998607</v>
      </c>
      <c r="E122" s="22" t="n">
        <v>2.785440766928e-09</v>
      </c>
    </row>
    <row r="123">
      <c r="A123" s="33" t="n">
        <v>14</v>
      </c>
      <c r="B123" s="17" t="n">
        <v>-0.9999999995360001</v>
      </c>
      <c r="C123" s="17" t="n">
        <v>1.99999999942</v>
      </c>
      <c r="D123" s="17" t="n">
        <v>0.99999999971</v>
      </c>
      <c r="E123" s="22" t="n">
        <v>5.803002522953e-10</v>
      </c>
    </row>
    <row r="124">
      <c r="A124" s="33" t="n">
        <v>15</v>
      </c>
      <c r="B124" s="17" t="n">
        <v>-0.999999999903</v>
      </c>
      <c r="C124" s="17" t="n">
        <v>1.999999999879</v>
      </c>
      <c r="D124" s="17" t="n">
        <v>0.99999999994</v>
      </c>
      <c r="E124" s="22" t="n">
        <v>1.208959599097e-10</v>
      </c>
    </row>
    <row r="125">
      <c r="A125" s="33" t="n">
        <v>16</v>
      </c>
      <c r="B125" s="17" t="n">
        <v>-0.99999999998</v>
      </c>
      <c r="C125" s="17" t="n">
        <v>1.999999999975</v>
      </c>
      <c r="D125" s="17" t="n">
        <v>0.999999999987</v>
      </c>
      <c r="E125" s="22" t="n">
        <v>2.518674158125e-11</v>
      </c>
    </row>
    <row r="127" ht="30" customHeight="1">
      <c r="A127" s="8" t="inlineStr">
        <is>
          <t>Gráfica — error de las dos corridas completas (Jacobi necesita más iteraciones; GS baja más rápido, ρ más chico).</t>
        </is>
      </c>
      <c r="B127" s="9" t="n"/>
      <c r="C127" s="9" t="n"/>
      <c r="D127" s="9" t="n"/>
      <c r="E127" s="9" t="n"/>
      <c r="F127" s="9" t="n"/>
      <c r="G127" s="9" t="n"/>
      <c r="H127" s="9" t="n"/>
    </row>
    <row r="150" ht="15" customHeight="1">
      <c r="A150" s="8" t="inlineStr">
        <is>
          <t>Gráfica — solución exacta frente al último vector de cada método.</t>
        </is>
      </c>
      <c r="B150" s="9" t="n"/>
      <c r="C150" s="9" t="n"/>
      <c r="D150" s="9" t="n"/>
      <c r="E150" s="9" t="n"/>
      <c r="F150" s="9" t="n"/>
      <c r="G150" s="9" t="n"/>
      <c r="H150" s="9" t="n"/>
    </row>
    <row r="173" ht="22" customHeight="1">
      <c r="A173" s="31" t="inlineStr">
        <is>
          <t>EVIDENCIA OCTAVE — salida completa (texto para copiar al informe)</t>
        </is>
      </c>
      <c r="B173" s="32" t="n"/>
      <c r="C173" s="32" t="n"/>
      <c r="D173" s="32" t="n"/>
      <c r="E173" s="32" t="n"/>
      <c r="F173" s="32" t="n"/>
      <c r="G173" s="32" t="n"/>
      <c r="H173" s="32" t="n"/>
    </row>
    <row r="174" ht="14" customHeight="1">
      <c r="A174" s="34" t="inlineStr">
        <is>
          <t>EJERCICIO 2 — EVIDENCIA OCTAVE</t>
        </is>
      </c>
    </row>
    <row r="175" ht="14" customHeight="1">
      <c r="A175" s="34" t="inlineStr">
        <is>
          <t>Sistema reordenado EDD: -3x - z = 2; -x + 4y - 2z = 7; -y + 2z = 0</t>
        </is>
      </c>
    </row>
    <row r="176" ht="14" customHeight="1">
      <c r="A176" s="34" t="inlineStr">
        <is>
          <t>x0 = (0,0,0) porque el enunciado no da otro valor inicial</t>
        </is>
      </c>
    </row>
    <row r="177" ht="14" customHeight="1">
      <c r="A177" s="34" t="inlineStr">
        <is>
          <t>SOLUCION_EXACTA,-1.000000000000,2.000000000000,1.000000000000</t>
        </is>
      </c>
    </row>
    <row r="178" ht="14" customHeight="1">
      <c r="A178" s="34" t="inlineStr">
        <is>
          <t>RHO_JACOBI,0.568579021302</t>
        </is>
      </c>
    </row>
    <row r="179" ht="14" customHeight="1">
      <c r="A179" s="34" t="inlineStr">
        <is>
          <t>RHO_GS,0.208333333333</t>
        </is>
      </c>
    </row>
    <row r="180" ht="14" customHeight="1">
      <c r="A180" s="34" t="inlineStr">
        <is>
          <t>B_JACOBI</t>
        </is>
      </c>
    </row>
    <row r="181" ht="14" customHeight="1">
      <c r="A181" s="34" t="inlineStr">
        <is>
          <t>0.000000000000,0.000000000000,-0.333333333333</t>
        </is>
      </c>
    </row>
    <row r="182" ht="14" customHeight="1">
      <c r="A182" s="34" t="inlineStr">
        <is>
          <t>0.250000000000,-0.000000000000,0.500000000000</t>
        </is>
      </c>
    </row>
    <row r="183" ht="14" customHeight="1">
      <c r="A183" s="34" t="inlineStr">
        <is>
          <t>-0.000000000000,0.500000000000,-0.000000000000</t>
        </is>
      </c>
    </row>
    <row r="184" ht="14" customHeight="1">
      <c r="A184" s="34" t="inlineStr">
        <is>
          <t>METODO,k,x,y,z,error_inf</t>
        </is>
      </c>
    </row>
    <row r="185" ht="14" customHeight="1">
      <c r="A185" s="34" t="inlineStr">
        <is>
          <t>JACOBI,1,-0.666666666667,1.750000000000,0.000000000000,1.000000000000e+00</t>
        </is>
      </c>
    </row>
    <row r="186" ht="14" customHeight="1">
      <c r="A186" s="34" t="inlineStr">
        <is>
          <t>JACOBI,2,-0.666666666667,1.583333333333,0.875000000000,4.166666666667e-01</t>
        </is>
      </c>
    </row>
    <row r="187" ht="14" customHeight="1">
      <c r="A187" s="34" t="inlineStr">
        <is>
          <t>JACOBI,3,-0.958333333333,2.020833333333,0.791666666667,2.083333333333e-01</t>
        </is>
      </c>
    </row>
    <row r="188" ht="14" customHeight="1">
      <c r="A188" s="34" t="inlineStr">
        <is>
          <t>JACOBI,4,-0.930555555556,1.906250000000,1.010416666667,9.375000000000e-02</t>
        </is>
      </c>
    </row>
    <row r="189" ht="14" customHeight="1">
      <c r="A189" s="34" t="inlineStr">
        <is>
          <t>JACOBI,5,-1.003472222222,2.022569444444,0.953125000000,4.687500000000e-02</t>
        </is>
      </c>
    </row>
    <row r="190" ht="14" customHeight="1">
      <c r="A190" s="34" t="inlineStr">
        <is>
          <t>JACOBI,6,-0.984375000000,1.975694444444,1.011284722222,2.430555555556e-02</t>
        </is>
      </c>
    </row>
    <row r="191" ht="14" customHeight="1">
      <c r="A191" s="34" t="inlineStr">
        <is>
          <t>JACOBI,7,-1.003761574074,2.009548611111,0.987847222222,1.215277777778e-02</t>
        </is>
      </c>
    </row>
    <row r="192" ht="14" customHeight="1">
      <c r="A192" s="34" t="inlineStr">
        <is>
          <t>JACOBI,8,-0.995949074074,1.992983217593,1.004774305556,7.016782407407e-03</t>
        </is>
      </c>
    </row>
    <row r="193" ht="14" customHeight="1">
      <c r="A193" s="34" t="inlineStr">
        <is>
          <t>JACOBI,9,-1.001591435185,2.003399884259,0.996491608796,3.508391203704e-03</t>
        </is>
      </c>
    </row>
    <row r="194" ht="14" customHeight="1">
      <c r="A194" s="34" t="inlineStr">
        <is>
          <t>JACOBI,10,-0.998830536265,1.997847945602,1.001699942130,2.152054398148e-03</t>
        </is>
      </c>
    </row>
    <row r="195" ht="14" customHeight="1">
      <c r="A195" s="34" t="inlineStr">
        <is>
          <t>JACOBI,11,-1.000566647377,2.001142336998,0.998923972801,1.142336998457e-03</t>
        </is>
      </c>
    </row>
    <row r="196" ht="14" customHeight="1">
      <c r="A196" s="34" t="inlineStr">
        <is>
          <t>JACOBI,12,-0.999641324267,1.999320324556,1.000571168499,6.796754436729e-04</t>
        </is>
      </c>
    </row>
    <row r="197" ht="14" customHeight="1">
      <c r="A197" s="34" t="inlineStr">
        <is>
          <t>JACOBI,13,-1.000190389500,2.000375253183,0.999660162278,3.752531828702e-04</t>
        </is>
      </c>
    </row>
    <row r="198" ht="14" customHeight="1">
      <c r="A198" s="34" t="inlineStr">
        <is>
          <t>JACOBI,14,-0.999886720759,1.999782483764,1.000187626591,2.175162358538e-04</t>
        </is>
      </c>
    </row>
    <row r="199" ht="14" customHeight="1">
      <c r="A199" s="34" t="inlineStr">
        <is>
          <t>JACOBI,15,-1.000062542197,2.000122133106,0.999891241882,1.221331058705e-04</t>
        </is>
      </c>
    </row>
    <row r="200" ht="14" customHeight="1">
      <c r="A200" s="34" t="inlineStr">
        <is>
          <t>JACOBI,16,-0.999963747294,1.999929985392,1.000061066553,7.001460824974e-05</t>
        </is>
      </c>
    </row>
    <row r="201" ht="14" customHeight="1">
      <c r="A201" s="34" t="inlineStr">
        <is>
          <t>JACOBI,17,-1.000020355518,2.000039596453,0.999964992696,3.959645296181e-05</t>
        </is>
      </c>
    </row>
    <row r="202" ht="14" customHeight="1">
      <c r="A202" s="34" t="inlineStr">
        <is>
          <t>JACOBI,18,-0.999988330899,1.999977407469,1.000019798226,2.259253147363e-05</t>
        </is>
      </c>
    </row>
    <row r="203" ht="14" customHeight="1">
      <c r="A203" s="34" t="inlineStr">
        <is>
          <t>JACOBI,19,-1.000006599409,2.000012816389,0.999988703734,1.281638858419e-05</t>
        </is>
      </c>
    </row>
    <row r="204" ht="14" customHeight="1">
      <c r="A204" s="34" t="inlineStr">
        <is>
          <t>JACOBI,20,-0.999996234578,1.999992702015,1.000006408194,7.297985075372e-06</t>
        </is>
      </c>
    </row>
    <row r="205" ht="14" customHeight="1">
      <c r="A205" s="34" t="inlineStr">
        <is>
          <t>JACOBI,21,-1.000002136065,2.000004145453,0.999996351007,4.145452623838e-06</t>
        </is>
      </c>
    </row>
    <row r="206" ht="14" customHeight="1">
      <c r="A206" s="34" t="inlineStr">
        <is>
          <t>JACOBI,22,-0.999998783669,1.999997641488,1.000002072726,2.358512459999e-06</t>
        </is>
      </c>
    </row>
    <row r="207" ht="14" customHeight="1">
      <c r="A207" s="34" t="inlineStr">
        <is>
          <t>JACOBI,23,-1.000000690909,2.000001340446,0.999998820744,1.340445867193e-06</t>
        </is>
      </c>
    </row>
    <row r="208" ht="14" customHeight="1">
      <c r="A208" s="34" t="inlineStr">
        <is>
          <t>JACOBI,24,-0.999999606915,1.999999237645,1.000000670223,7.623553075486e-07</t>
        </is>
      </c>
    </row>
    <row r="209" ht="14" customHeight="1">
      <c r="A209" s="34" t="inlineStr">
        <is>
          <t>JACOBI,25,-1.000000223408,2.000000433383,0.999999618822,4.333828194092e-07</t>
        </is>
      </c>
    </row>
    <row r="210" ht="14" customHeight="1">
      <c r="A210" s="34" t="inlineStr">
        <is>
          <t>JACOBI,26,-0.999999872941,1.999999753559,1.000000216691,2.464407380387e-07</t>
        </is>
      </c>
    </row>
    <row r="211" ht="14" customHeight="1">
      <c r="A211" s="34" t="inlineStr">
        <is>
          <t>JACOBI,27,-1.000000072230,2.000000140111,0.999999876780,1.401105094168e-07</t>
        </is>
      </c>
    </row>
    <row r="212" ht="14" customHeight="1">
      <c r="A212" s="34" t="inlineStr">
        <is>
          <t>JACOBI,28,-0.999999958927,1.999999920332,1.000000070055,7.966780191104e-08</t>
        </is>
      </c>
    </row>
    <row r="213" ht="14" customHeight="1">
      <c r="A213" s="34" t="inlineStr">
        <is>
          <t>JACOBI,29,-1.000000023352,2.000000045296,0.999999960166,4.529599140213e-08</t>
        </is>
      </c>
    </row>
    <row r="214" ht="14" customHeight="1">
      <c r="A214" s="34" t="inlineStr">
        <is>
          <t>JACOBI,30,-0.999999986722,1.999999974245,1.000000022648,2.575488844414e-08</t>
        </is>
      </c>
    </row>
    <row r="215" ht="14" customHeight="1">
      <c r="A215" s="34" t="inlineStr">
        <is>
          <t>JACOBI,31,-1.000000007549,2.000000014643,0.999999987123,1.464348953206e-08</t>
        </is>
      </c>
    </row>
    <row r="216" ht="14" customHeight="1">
      <c r="A216" s="34" t="inlineStr">
        <is>
          <t>JACOBI,32,-0.999999995708,1.999999991674,1.000000007322,8.326054956598e-09</t>
        </is>
      </c>
    </row>
    <row r="217" ht="14" customHeight="1">
      <c r="A217" s="34" t="inlineStr">
        <is>
          <t>JACOBI,33,-1.000000002441,2.000000004734,0.999999995837,4.733992753359e-09</t>
        </is>
      </c>
    </row>
    <row r="218" ht="14" customHeight="1">
      <c r="A218" s="34" t="inlineStr">
        <is>
          <t>JACOBI,34,-0.999999998612,1.999999997308,1.000000002367,2.691659339860e-09</t>
        </is>
      </c>
    </row>
    <row r="219" ht="14" customHeight="1">
      <c r="A219" s="34" t="inlineStr">
        <is>
          <t>JACOBI,35,-1.000000000789,2.000000001530,0.999999998654,1.530417126361e-09</t>
        </is>
      </c>
    </row>
    <row r="220" ht="14" customHeight="1">
      <c r="A220" s="34" t="inlineStr">
        <is>
          <t>JACOBI,36,-0.999999999551,1.999999999130,1.000000000765,8.701646070364e-10</t>
        </is>
      </c>
    </row>
    <row r="221" ht="14" customHeight="1">
      <c r="A221" s="34" t="inlineStr">
        <is>
          <t>JACOBI,37,-1.000000000255,2.000000000495,0.999999999565,4.947566800695e-10</t>
        </is>
      </c>
    </row>
    <row r="222" ht="14" customHeight="1">
      <c r="A222" s="34" t="inlineStr">
        <is>
          <t>JACOBI,38,-0.999999999855,1.999999999719,1.000000000247,2.813085320241e-10</t>
        </is>
      </c>
    </row>
    <row r="223" ht="14" customHeight="1">
      <c r="A223" s="34" t="inlineStr">
        <is>
          <t>JACOBI,39,-1.000000000082,2.000000000160,0.999999999859,1.599458343549e-10</t>
        </is>
      </c>
    </row>
    <row r="224" ht="14" customHeight="1">
      <c r="A224" s="34" t="inlineStr">
        <is>
          <t>JACOBI,40,-0.999999999953,1.999999999909,1.000000000080,9.094192066073e-11</t>
        </is>
      </c>
    </row>
    <row r="225" ht="14" customHeight="1">
      <c r="A225" s="34" t="inlineStr">
        <is>
          <t>GAUSS_SEIDEL,1,-0.666666666667,1.583333333333,0.791666666667,4.166666666667e-01</t>
        </is>
      </c>
    </row>
    <row r="226" ht="14" customHeight="1">
      <c r="A226" s="34" t="inlineStr">
        <is>
          <t>GAUSS_SEIDEL,2,-0.930555555556,1.913194444444,0.956597222222,8.680555555556e-02</t>
        </is>
      </c>
    </row>
    <row r="227" ht="14" customHeight="1">
      <c r="A227" s="34" t="inlineStr">
        <is>
          <t>GAUSS_SEIDEL,3,-0.985532407407,1.981915509259,0.990957754630,1.808449074074e-02</t>
        </is>
      </c>
    </row>
    <row r="228" ht="14" customHeight="1">
      <c r="A228" s="34" t="inlineStr">
        <is>
          <t>GAUSS_SEIDEL,4,-0.996985918210,1.996232397762,0.998116198881,3.767602237654e-03</t>
        </is>
      </c>
    </row>
    <row r="229" ht="14" customHeight="1">
      <c r="A229" s="34" t="inlineStr">
        <is>
          <t>GAUSS_SEIDEL,5,-0.999372066294,1.999215082867,0.999607541434,7.849171328447e-04</t>
        </is>
      </c>
    </row>
    <row r="230" ht="14" customHeight="1">
      <c r="A230" s="34" t="inlineStr">
        <is>
          <t>GAUSS_SEIDEL,6,-0.999869180478,1.999836475597,0.999918237799,1.635244026759e-04</t>
        </is>
      </c>
    </row>
    <row r="231" ht="14" customHeight="1">
      <c r="A231" s="34" t="inlineStr">
        <is>
          <t>GAUSS_SEIDEL,7,-0.999972745933,1.999965932416,0.999982966208,3.406758389080e-05</t>
        </is>
      </c>
    </row>
    <row r="232" ht="14" customHeight="1">
      <c r="A232" s="34" t="inlineStr">
        <is>
          <t>GAUSS_SEIDEL,8,-0.999994322069,1.999992902587,0.999996451293,7.097413310619e-06</t>
        </is>
      </c>
    </row>
    <row r="233" ht="14" customHeight="1">
      <c r="A233" s="34" t="inlineStr">
        <is>
          <t>GAUSS_SEIDEL,9,-0.999998817098,1.999998521372,0.999999260686,1.478627772888e-06</t>
        </is>
      </c>
    </row>
    <row r="234" ht="14" customHeight="1">
      <c r="A234" s="34" t="inlineStr">
        <is>
          <t>GAUSS_SEIDEL,10,-0.999999753562,1.999999691953,0.999999845976,3.080474526573e-07</t>
        </is>
      </c>
    </row>
    <row r="235" ht="14" customHeight="1">
      <c r="A235" s="34" t="inlineStr">
        <is>
          <t>GAUSS_SEIDEL,11,-0.999999948659,1.999999935823,0.999999967912,6.417655251667e-08</t>
        </is>
      </c>
    </row>
    <row r="236" ht="14" customHeight="1">
      <c r="A236" s="34" t="inlineStr">
        <is>
          <t>GAUSS_SEIDEL,12,-0.999999989304,1.999999986630,0.999999993315,1.337011523717e-08</t>
        </is>
      </c>
    </row>
    <row r="237" ht="14" customHeight="1">
      <c r="A237" s="34" t="inlineStr">
        <is>
          <t>GAUSS_SEIDEL,13,-0.999999997772,1.999999997215,0.999999998607,2.785440766928e-09</t>
        </is>
      </c>
    </row>
    <row r="238" ht="14" customHeight="1">
      <c r="A238" s="34" t="inlineStr">
        <is>
          <t>GAUSS_SEIDEL,14,-0.999999999536,1.999999999420,0.999999999710,5.803002522953e-10</t>
        </is>
      </c>
    </row>
    <row r="239" ht="14" customHeight="1">
      <c r="A239" s="34" t="inlineStr">
        <is>
          <t>GAUSS_SEIDEL,15,-0.999999999903,1.999999999879,0.999999999940,1.208959599097e-10</t>
        </is>
      </c>
    </row>
    <row r="240" ht="14" customHeight="1">
      <c r="A240" s="34" t="inlineStr">
        <is>
          <t>GAUSS_SEIDEL,16,-0.999999999980,1.999999999975,0.999999999987,2.518674158125e-11</t>
        </is>
      </c>
    </row>
  </sheetData>
  <mergeCells count="110">
    <mergeCell ref="A229:H229"/>
    <mergeCell ref="A201:H201"/>
    <mergeCell ref="A222:H222"/>
    <mergeCell ref="A6:H6"/>
    <mergeCell ref="A25:H25"/>
    <mergeCell ref="A196:H196"/>
    <mergeCell ref="A174:H174"/>
    <mergeCell ref="A205:H205"/>
    <mergeCell ref="A183:H183"/>
    <mergeCell ref="A189:H189"/>
    <mergeCell ref="A198:H198"/>
    <mergeCell ref="A238:H238"/>
    <mergeCell ref="A3:H3"/>
    <mergeCell ref="A239:H239"/>
    <mergeCell ref="A175:H175"/>
    <mergeCell ref="A5:H5"/>
    <mergeCell ref="A150:H150"/>
    <mergeCell ref="A32:H32"/>
    <mergeCell ref="A224:H224"/>
    <mergeCell ref="A29:H29"/>
    <mergeCell ref="A200:H200"/>
    <mergeCell ref="A13:H13"/>
    <mergeCell ref="A202:H202"/>
    <mergeCell ref="A31:H31"/>
    <mergeCell ref="A15:H15"/>
    <mergeCell ref="A186:H186"/>
    <mergeCell ref="A24:H24"/>
    <mergeCell ref="A226:H226"/>
    <mergeCell ref="A51:H51"/>
    <mergeCell ref="A60:H60"/>
    <mergeCell ref="A197:H197"/>
    <mergeCell ref="A228:H228"/>
    <mergeCell ref="A237:H237"/>
    <mergeCell ref="A7:H7"/>
    <mergeCell ref="A212:H212"/>
    <mergeCell ref="A16:H16"/>
    <mergeCell ref="A187:H187"/>
    <mergeCell ref="A221:H221"/>
    <mergeCell ref="A108:H108"/>
    <mergeCell ref="A27:H27"/>
    <mergeCell ref="A236:H236"/>
    <mergeCell ref="A214:H214"/>
    <mergeCell ref="A18:H18"/>
    <mergeCell ref="A223:H223"/>
    <mergeCell ref="A2:H2"/>
    <mergeCell ref="A204:H204"/>
    <mergeCell ref="A42:H42"/>
    <mergeCell ref="A213:H213"/>
    <mergeCell ref="A188:H188"/>
    <mergeCell ref="A22:H22"/>
    <mergeCell ref="A206:H206"/>
    <mergeCell ref="A215:H215"/>
    <mergeCell ref="A20:H20"/>
    <mergeCell ref="A190:H190"/>
    <mergeCell ref="A28:H28"/>
    <mergeCell ref="A199:H199"/>
    <mergeCell ref="A127:H127"/>
    <mergeCell ref="A176:H176"/>
    <mergeCell ref="A30:H30"/>
    <mergeCell ref="A232:H232"/>
    <mergeCell ref="A182:H182"/>
    <mergeCell ref="A191:H191"/>
    <mergeCell ref="A225:H225"/>
    <mergeCell ref="A178:H178"/>
    <mergeCell ref="A227:H227"/>
    <mergeCell ref="A177:H177"/>
    <mergeCell ref="A217:H217"/>
    <mergeCell ref="A26:H26"/>
    <mergeCell ref="A179:H179"/>
    <mergeCell ref="A195:H195"/>
    <mergeCell ref="A33:H33"/>
    <mergeCell ref="A203:H203"/>
    <mergeCell ref="A8:H8"/>
    <mergeCell ref="A17:H17"/>
    <mergeCell ref="A231:H231"/>
    <mergeCell ref="A35:H35"/>
    <mergeCell ref="A180:H180"/>
    <mergeCell ref="A240:H240"/>
    <mergeCell ref="A10:H10"/>
    <mergeCell ref="A19:H19"/>
    <mergeCell ref="A230:H230"/>
    <mergeCell ref="A173:H173"/>
    <mergeCell ref="A34:H34"/>
    <mergeCell ref="A9:H9"/>
    <mergeCell ref="A36:H36"/>
    <mergeCell ref="A11:H11"/>
    <mergeCell ref="A207:H207"/>
    <mergeCell ref="A1:H1"/>
    <mergeCell ref="A216:H216"/>
    <mergeCell ref="A65:H65"/>
    <mergeCell ref="A218:H218"/>
    <mergeCell ref="A193:H193"/>
    <mergeCell ref="A233:H233"/>
    <mergeCell ref="A208:H208"/>
    <mergeCell ref="A21:H21"/>
    <mergeCell ref="A192:H192"/>
    <mergeCell ref="A235:H235"/>
    <mergeCell ref="A210:H210"/>
    <mergeCell ref="A14:H14"/>
    <mergeCell ref="A185:H185"/>
    <mergeCell ref="A219:H219"/>
    <mergeCell ref="A23:H23"/>
    <mergeCell ref="A194:H194"/>
    <mergeCell ref="A234:H234"/>
    <mergeCell ref="A181:H181"/>
    <mergeCell ref="A4:H4"/>
    <mergeCell ref="A209:H209"/>
    <mergeCell ref="A184:H184"/>
    <mergeCell ref="A211:H211"/>
    <mergeCell ref="A220:H220"/>
  </mergeCells>
  <pageMargins left="0.4" right="0.4" top="0.6" bottom="0.5" header="0.25" footer="0.25"/>
  <pageSetup orientation="landscape" paperSize="3" fitToHeight="0" fitToWidth="1"/>
  <headerFooter>
    <oddHeader>&amp;LMétodos numéricos — examen modelo U2</oddHeader>
    <oddFooter>&amp;RHoja &amp;P</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1F4E79"/>
    <outlinePr summaryBelow="1" summaryRight="1"/>
    <pageSetUpPr fitToPage="1"/>
  </sheetPr>
  <dimension ref="A1:H88"/>
  <sheetViews>
    <sheetView showGridLines="0" zoomScale="11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FACULTAD DE INGENIERÍA Y ARQUITECTURA</t>
        </is>
      </c>
      <c r="B1" s="2" t="n"/>
      <c r="C1" s="2" t="n"/>
      <c r="D1" s="2" t="n"/>
      <c r="E1" s="2" t="n"/>
      <c r="F1" s="2" t="n"/>
      <c r="G1" s="2" t="n"/>
      <c r="H1" s="2" t="n"/>
    </row>
    <row r="2" ht="22" customHeight="1">
      <c r="A2" s="1" t="inlineStr">
        <is>
          <t>EXAMEN DE UNIDAD DE MÉTODOS NUMÉRICOS  ·  Mg. Jessica Perez Rivera</t>
        </is>
      </c>
      <c r="B2" s="2" t="n"/>
      <c r="C2" s="2" t="n"/>
      <c r="D2" s="2" t="n"/>
      <c r="E2" s="2" t="n"/>
      <c r="F2" s="2" t="n"/>
      <c r="G2" s="2" t="n"/>
      <c r="H2" s="2" t="n"/>
    </row>
    <row r="3" ht="15" customHeight="1">
      <c r="A3" s="3" t="inlineStr">
        <is>
          <t>Nombre: ______________________________________________</t>
        </is>
      </c>
    </row>
    <row r="4" ht="22" customHeight="1">
      <c r="A4" s="10" t="inlineStr">
        <is>
          <t>EJERCICIO 3 — Polinomio de Newton y flecha de la catenaria</t>
        </is>
      </c>
      <c r="B4" s="11" t="n"/>
      <c r="C4" s="11" t="n"/>
      <c r="D4" s="11" t="n"/>
      <c r="E4" s="11" t="n"/>
      <c r="F4" s="11" t="n"/>
      <c r="G4" s="11" t="n"/>
      <c r="H4" s="11" t="n"/>
    </row>
    <row r="5" ht="22" customHeight="1">
      <c r="A5" s="12" t="inlineStr">
        <is>
          <t>ENUNCIADO (transcrito del PDF del examen modelo)</t>
        </is>
      </c>
      <c r="B5" s="11" t="n"/>
      <c r="C5" s="11" t="n"/>
      <c r="D5" s="11" t="n"/>
      <c r="E5" s="11" t="n"/>
      <c r="F5" s="11" t="n"/>
      <c r="G5" s="11" t="n"/>
      <c r="H5" s="11" t="n"/>
    </row>
    <row r="6" ht="15" customHeight="1">
      <c r="A6" s="3" t="inlineStr">
        <is>
          <t>Torres de una línea de alta tensión, vano de 400 m. Alturas medidas del cable:</t>
        </is>
      </c>
    </row>
    <row r="7" ht="15" customHeight="1">
      <c r="A7" s="3" t="inlineStr">
        <is>
          <t>Distancia (m):  0 , 120 , 230 , 310 , 400</t>
        </is>
      </c>
    </row>
    <row r="8" ht="15" customHeight="1">
      <c r="A8" s="3" t="inlineStr">
        <is>
          <t>Altura (m):  50 , 43.28 , 42.18 , 44.42 , 50.00</t>
        </is>
      </c>
    </row>
    <row r="9" ht="30" customHeight="1">
      <c r="A9" s="3" t="inlineStr">
        <is>
          <t>Obtener la forma de Newton del polinomio de interpolación y usarla para la flecha máxima en el punto medio de la catenaria.</t>
        </is>
      </c>
    </row>
    <row r="10" ht="15" customHeight="1">
      <c r="A10" s="3" t="inlineStr">
        <is>
          <t>Punto medio del vano: x = 200 m. Las dos torres están a 50 m, así que la flecha es 50 − P(200).</t>
        </is>
      </c>
    </row>
    <row r="12" ht="22" customHeight="1">
      <c r="A12" s="13" t="inlineStr">
        <is>
          <t>DESARROLLO PARA COPIAR — diferencias divididas (cada celda es una resta dividida)</t>
        </is>
      </c>
      <c r="B12" s="14" t="n"/>
      <c r="C12" s="14" t="n"/>
      <c r="D12" s="14" t="n"/>
      <c r="E12" s="14" t="n"/>
      <c r="F12" s="14" t="n"/>
      <c r="G12" s="14" t="n"/>
      <c r="H12" s="14" t="n"/>
    </row>
    <row r="13" ht="15" customHeight="1">
      <c r="A13" s="4" t="inlineStr">
        <is>
          <t>f[x_i] = y_i.</t>
        </is>
      </c>
      <c r="B13" s="5" t="n"/>
      <c r="C13" s="5" t="n"/>
      <c r="D13" s="5" t="n"/>
      <c r="E13" s="5" t="n"/>
      <c r="F13" s="5" t="n"/>
      <c r="G13" s="5" t="n"/>
      <c r="H13" s="5" t="n"/>
    </row>
    <row r="14" ht="15" customHeight="1">
      <c r="A14" s="4" t="inlineStr">
        <is>
          <t>f[x_i, x_{i+1}] = (y_{i+1} − y_i) / (x_{i+1} − x_i).</t>
        </is>
      </c>
      <c r="B14" s="5" t="n"/>
      <c r="C14" s="5" t="n"/>
      <c r="D14" s="5" t="n"/>
      <c r="E14" s="5" t="n"/>
      <c r="F14" s="5" t="n"/>
      <c r="G14" s="5" t="n"/>
      <c r="H14" s="5" t="n"/>
    </row>
    <row r="15" ht="15" customHeight="1">
      <c r="A15" s="4" t="inlineStr">
        <is>
          <t>Órdenes siguientes: (diferencia de la columna anterior) / (x del extremo derecho − x del extremo izquierdo).</t>
        </is>
      </c>
      <c r="B15" s="5" t="n"/>
      <c r="C15" s="5" t="n"/>
      <c r="D15" s="5" t="n"/>
      <c r="E15" s="5" t="n"/>
      <c r="F15" s="5" t="n"/>
      <c r="G15" s="5" t="n"/>
      <c r="H15" s="5" t="n"/>
    </row>
    <row r="16" ht="15" customHeight="1">
      <c r="A16" s="4" t="inlineStr">
        <is>
          <t>A mano, con estos datos:</t>
        </is>
      </c>
      <c r="B16" s="5" t="n"/>
      <c r="C16" s="5" t="n"/>
      <c r="D16" s="5" t="n"/>
      <c r="E16" s="5" t="n"/>
      <c r="F16" s="5" t="n"/>
      <c r="G16" s="5" t="n"/>
      <c r="H16" s="5" t="n"/>
    </row>
    <row r="17" ht="15" customHeight="1">
      <c r="A17" s="4" t="inlineStr">
        <is>
          <t>f[x0,x1] = (43.28 − 50) / 120 = −6.72/120 = −0.056</t>
        </is>
      </c>
      <c r="B17" s="5" t="n"/>
      <c r="C17" s="5" t="n"/>
      <c r="D17" s="5" t="n"/>
      <c r="E17" s="5" t="n"/>
      <c r="F17" s="5" t="n"/>
      <c r="G17" s="5" t="n"/>
      <c r="H17" s="5" t="n"/>
    </row>
    <row r="18" ht="15" customHeight="1">
      <c r="A18" s="4" t="inlineStr">
        <is>
          <t>f[x1,x2] = (42.18 − 43.28) / 110 = −1.10/110 = −0.01</t>
        </is>
      </c>
      <c r="B18" s="5" t="n"/>
      <c r="C18" s="5" t="n"/>
      <c r="D18" s="5" t="n"/>
      <c r="E18" s="5" t="n"/>
      <c r="F18" s="5" t="n"/>
      <c r="G18" s="5" t="n"/>
      <c r="H18" s="5" t="n"/>
    </row>
    <row r="19" ht="15" customHeight="1">
      <c r="A19" s="4" t="inlineStr">
        <is>
          <t>f[x2,x3] = (44.42 − 42.18) / 80 = 2.24/80 = 0.028</t>
        </is>
      </c>
      <c r="B19" s="5" t="n"/>
      <c r="C19" s="5" t="n"/>
      <c r="D19" s="5" t="n"/>
      <c r="E19" s="5" t="n"/>
      <c r="F19" s="5" t="n"/>
      <c r="G19" s="5" t="n"/>
      <c r="H19" s="5" t="n"/>
    </row>
    <row r="20" ht="15" customHeight="1">
      <c r="A20" s="4" t="inlineStr">
        <is>
          <t>f[x3,x4] = (50 − 44.42) / 90 = 5.58/90 = 0.062</t>
        </is>
      </c>
      <c r="B20" s="5" t="n"/>
      <c r="C20" s="5" t="n"/>
      <c r="D20" s="5" t="n"/>
      <c r="E20" s="5" t="n"/>
      <c r="F20" s="5" t="n"/>
      <c r="G20" s="5" t="n"/>
      <c r="H20" s="5" t="n"/>
    </row>
    <row r="21" ht="15" customHeight="1">
      <c r="A21" s="4" t="inlineStr">
        <is>
          <t>f[x0,x1,x2] = (−0.01 − (−0.056)) / 230 = 0.046/230 = 0.0002</t>
        </is>
      </c>
      <c r="B21" s="5" t="n"/>
      <c r="C21" s="5" t="n"/>
      <c r="D21" s="5" t="n"/>
      <c r="E21" s="5" t="n"/>
      <c r="F21" s="5" t="n"/>
      <c r="G21" s="5" t="n"/>
      <c r="H21" s="5" t="n"/>
    </row>
    <row r="22" ht="15" customHeight="1">
      <c r="A22" s="4" t="inlineStr">
        <is>
          <t>f[x1,x2,x3] = (0.028 − (−0.01)) / 190 = 0.038/190 = 0.0002</t>
        </is>
      </c>
      <c r="B22" s="5" t="n"/>
      <c r="C22" s="5" t="n"/>
      <c r="D22" s="5" t="n"/>
      <c r="E22" s="5" t="n"/>
      <c r="F22" s="5" t="n"/>
      <c r="G22" s="5" t="n"/>
      <c r="H22" s="5" t="n"/>
    </row>
    <row r="23" ht="15" customHeight="1">
      <c r="A23" s="4" t="inlineStr">
        <is>
          <t>f[x2,x3,x4] = (0.062 − 0.028) / 170 = 0.034/170 = 0.0002</t>
        </is>
      </c>
      <c r="B23" s="5" t="n"/>
      <c r="C23" s="5" t="n"/>
      <c r="D23" s="5" t="n"/>
      <c r="E23" s="5" t="n"/>
      <c r="F23" s="5" t="n"/>
      <c r="G23" s="5" t="n"/>
      <c r="H23" s="5" t="n"/>
    </row>
    <row r="24" ht="15" customHeight="1">
      <c r="A24" s="4" t="inlineStr">
        <is>
          <t>El tercer orden sale 0 (0.0002 − 0.0002). El cuarto orden también es 0. El polinomio es de grado 2.</t>
        </is>
      </c>
      <c r="B24" s="5" t="n"/>
      <c r="C24" s="5" t="n"/>
      <c r="D24" s="5" t="n"/>
      <c r="E24" s="5" t="n"/>
      <c r="F24" s="5" t="n"/>
      <c r="G24" s="5" t="n"/>
      <c r="H24" s="5" t="n"/>
    </row>
    <row r="25" ht="15" customHeight="1">
      <c r="A25" s="4" t="inlineStr">
        <is>
          <t>P(x) = 50 − 0.056·(x − 0) + 0.0002·(x − 0)·(x − 120).</t>
        </is>
      </c>
      <c r="B25" s="5" t="n"/>
      <c r="C25" s="5" t="n"/>
      <c r="D25" s="5" t="n"/>
      <c r="E25" s="5" t="n"/>
      <c r="F25" s="5" t="n"/>
      <c r="G25" s="5" t="n"/>
      <c r="H25" s="5" t="n"/>
    </row>
    <row r="26" ht="15" customHeight="1">
      <c r="A26" s="4" t="inlineStr">
        <is>
          <t>En x = 200, forma anidada: se empieza por el coeficiente más alto (0).</t>
        </is>
      </c>
      <c r="B26" s="5" t="n"/>
      <c r="C26" s="5" t="n"/>
      <c r="D26" s="5" t="n"/>
      <c r="E26" s="5" t="n"/>
      <c r="F26" s="5" t="n"/>
      <c r="G26" s="5" t="n"/>
      <c r="H26" s="5" t="n"/>
    </row>
    <row r="27" ht="15" customHeight="1">
      <c r="A27" s="4" t="inlineStr">
        <is>
          <t>b2 = 0.0002</t>
        </is>
      </c>
      <c r="B27" s="5" t="n"/>
      <c r="C27" s="5" t="n"/>
      <c r="D27" s="5" t="n"/>
      <c r="E27" s="5" t="n"/>
      <c r="F27" s="5" t="n"/>
      <c r="G27" s="5" t="n"/>
      <c r="H27" s="5" t="n"/>
    </row>
    <row r="28" ht="15" customHeight="1">
      <c r="A28" s="4" t="inlineStr">
        <is>
          <t>b1 = −0.056 + (200 − 120)·0.0002 = −0.056 + 0.016 = −0.040</t>
        </is>
      </c>
      <c r="B28" s="5" t="n"/>
      <c r="C28" s="5" t="n"/>
      <c r="D28" s="5" t="n"/>
      <c r="E28" s="5" t="n"/>
      <c r="F28" s="5" t="n"/>
      <c r="G28" s="5" t="n"/>
      <c r="H28" s="5" t="n"/>
    </row>
    <row r="29" ht="15" customHeight="1">
      <c r="A29" s="4" t="inlineStr">
        <is>
          <t>b0 = 50 + (200 − 0)·(−0.040) = 50 − 8 = 42</t>
        </is>
      </c>
      <c r="B29" s="5" t="n"/>
      <c r="C29" s="5" t="n"/>
      <c r="D29" s="5" t="n"/>
      <c r="E29" s="5" t="n"/>
      <c r="F29" s="5" t="n"/>
      <c r="G29" s="5" t="n"/>
      <c r="H29" s="5" t="n"/>
    </row>
    <row r="30" ht="15" customHeight="1">
      <c r="A30" s="4" t="inlineStr">
        <is>
          <t>P(200) = 42 m.   Flecha máxima en el punto medio = 50 − 42 = 8 m.</t>
        </is>
      </c>
      <c r="B30" s="5" t="n"/>
      <c r="C30" s="5" t="n"/>
      <c r="D30" s="5" t="n"/>
      <c r="E30" s="5" t="n"/>
      <c r="F30" s="5" t="n"/>
      <c r="G30" s="5" t="n"/>
      <c r="H30" s="5" t="n"/>
    </row>
    <row r="31" ht="22" customHeight="1">
      <c r="A31" s="13" t="inlineStr">
        <is>
          <t>Tabla de diferencias divididas (fórmulas). La primera fila de cada orden es el coeficiente de Newton.</t>
        </is>
      </c>
      <c r="B31" s="14" t="n"/>
      <c r="C31" s="14" t="n"/>
      <c r="D31" s="14" t="n"/>
      <c r="E31" s="14" t="n"/>
      <c r="F31" s="14" t="n"/>
      <c r="G31" s="14" t="n"/>
      <c r="H31" s="14" t="n"/>
    </row>
    <row r="32" ht="22" customHeight="1">
      <c r="A32" s="6" t="inlineStr">
        <is>
          <t>i</t>
        </is>
      </c>
      <c r="B32" s="6" t="inlineStr">
        <is>
          <t>x</t>
        </is>
      </c>
      <c r="C32" s="6" t="inlineStr">
        <is>
          <t>f[ ]</t>
        </is>
      </c>
      <c r="D32" s="6" t="inlineStr">
        <is>
          <t>1.er orden</t>
        </is>
      </c>
      <c r="E32" s="6" t="inlineStr">
        <is>
          <t>2.º orden</t>
        </is>
      </c>
      <c r="F32" s="6" t="inlineStr">
        <is>
          <t>3.er orden</t>
        </is>
      </c>
      <c r="G32" s="6" t="inlineStr">
        <is>
          <t>4.º orden</t>
        </is>
      </c>
    </row>
    <row r="33">
      <c r="A33" s="24" t="n">
        <v>0</v>
      </c>
      <c r="B33" s="37" t="n">
        <v>0</v>
      </c>
      <c r="C33" s="38" t="n">
        <v>50</v>
      </c>
      <c r="D33" s="17">
        <f>(C34-C33)/(B34-B33)</f>
        <v/>
      </c>
      <c r="E33" s="17">
        <f>(D34-D33)/(B35-B33)</f>
        <v/>
      </c>
      <c r="F33" s="22">
        <f>(E34-E33)/(B36-B33)</f>
        <v/>
      </c>
      <c r="G33" s="22">
        <f>(F34-F33)/(B37-B33)</f>
        <v/>
      </c>
    </row>
    <row r="34">
      <c r="A34" s="24" t="n">
        <v>1</v>
      </c>
      <c r="B34" s="37" t="n">
        <v>120</v>
      </c>
      <c r="C34" s="38" t="n">
        <v>43.28</v>
      </c>
      <c r="D34" s="17">
        <f>(C35-C34)/(B35-B34)</f>
        <v/>
      </c>
      <c r="E34" s="17">
        <f>(D35-D34)/(B36-B34)</f>
        <v/>
      </c>
      <c r="F34" s="22">
        <f>(E35-E34)/(B37-B34)</f>
        <v/>
      </c>
    </row>
    <row r="35">
      <c r="A35" s="24" t="n">
        <v>2</v>
      </c>
      <c r="B35" s="37" t="n">
        <v>230</v>
      </c>
      <c r="C35" s="38" t="n">
        <v>42.18</v>
      </c>
      <c r="D35" s="17">
        <f>(C36-C35)/(B36-B35)</f>
        <v/>
      </c>
      <c r="E35" s="17">
        <f>(D36-D35)/(B37-B35)</f>
        <v/>
      </c>
    </row>
    <row r="36">
      <c r="A36" s="24" t="n">
        <v>3</v>
      </c>
      <c r="B36" s="37" t="n">
        <v>310</v>
      </c>
      <c r="C36" s="38" t="n">
        <v>44.42</v>
      </c>
      <c r="D36" s="17">
        <f>(C37-C36)/(B37-B36)</f>
        <v/>
      </c>
    </row>
    <row r="37">
      <c r="A37" s="24" t="n">
        <v>4</v>
      </c>
      <c r="B37" s="37" t="n">
        <v>400</v>
      </c>
      <c r="C37" s="38" t="n">
        <v>50</v>
      </c>
    </row>
    <row r="39" ht="22" customHeight="1">
      <c r="A39" s="13" t="inlineStr">
        <is>
          <t>Evaluación anidada en x = 200 (cada línea es el paso que se copia)</t>
        </is>
      </c>
      <c r="B39" s="14" t="n"/>
      <c r="C39" s="14" t="n"/>
      <c r="D39" s="14" t="n"/>
      <c r="E39" s="14" t="n"/>
      <c r="F39" s="14" t="n"/>
      <c r="G39" s="14" t="n"/>
      <c r="H39" s="14" t="n"/>
    </row>
    <row r="40">
      <c r="A40" s="15" t="inlineStr">
        <is>
          <t>x medio</t>
        </is>
      </c>
      <c r="B40" s="39" t="n">
        <v>200</v>
      </c>
    </row>
    <row r="41">
      <c r="A41" s="15" t="inlineStr">
        <is>
          <t>b4 = a4</t>
        </is>
      </c>
      <c r="B41" s="22">
        <f>G33</f>
        <v/>
      </c>
    </row>
    <row r="42">
      <c r="A42" s="15" t="inlineStr">
        <is>
          <t>b3 = a3 + (x−x3)·b4</t>
        </is>
      </c>
      <c r="B42" s="22">
        <f>F33+($B$40-B36)*B41</f>
        <v/>
      </c>
    </row>
    <row r="43">
      <c r="A43" s="15" t="inlineStr">
        <is>
          <t>b2 = a2 + (x−x2)·b3</t>
        </is>
      </c>
      <c r="B43" s="17">
        <f>E33+($B$40-B35)*B42</f>
        <v/>
      </c>
    </row>
    <row r="44">
      <c r="A44" s="15" t="inlineStr">
        <is>
          <t>b1 = a1 + (x−x1)·b2</t>
        </is>
      </c>
      <c r="B44" s="17">
        <f>D33+($B$40-B34)*B43</f>
        <v/>
      </c>
    </row>
    <row r="45">
      <c r="A45" s="15" t="inlineStr">
        <is>
          <t>P(200) = a0 + (x−x0)·b1</t>
        </is>
      </c>
      <c r="B45" s="19">
        <f>C33+($B$40-B33)*B44</f>
        <v/>
      </c>
    </row>
    <row r="46">
      <c r="A46" s="15" t="inlineStr">
        <is>
          <t>Flecha = 50 − P(200)</t>
        </is>
      </c>
      <c r="B46" s="19">
        <f>50-B45</f>
        <v/>
      </c>
    </row>
    <row r="47">
      <c r="A47" s="15" t="inlineStr">
        <is>
          <t>Prueba |P(200) − 42| y |flecha − 8|</t>
        </is>
      </c>
      <c r="B47" s="22">
        <f>ABS(B45-42)</f>
        <v/>
      </c>
      <c r="C47" s="22">
        <f>ABS(B46-8)</f>
        <v/>
      </c>
      <c r="D47" s="23">
        <f>IF(AND(B47&lt;1E-9,C47&lt;1E-9),"OK","Revisar")</f>
        <v/>
      </c>
    </row>
    <row r="49" ht="22" customHeight="1">
      <c r="A49" s="31" t="inlineStr">
        <is>
          <t>EVIDENCIA OCTAVE</t>
        </is>
      </c>
      <c r="B49" s="32" t="n"/>
      <c r="C49" s="32" t="n"/>
      <c r="D49" s="32" t="n"/>
      <c r="E49" s="32" t="n"/>
      <c r="F49" s="32" t="n"/>
      <c r="G49" s="32" t="n"/>
      <c r="H49" s="32" t="n"/>
    </row>
    <row r="50">
      <c r="A50" s="15" t="inlineStr">
        <is>
          <t>P(200) Octave</t>
        </is>
      </c>
      <c r="B50" s="36" t="n">
        <v>42</v>
      </c>
      <c r="C50" s="15" t="inlineStr">
        <is>
          <t>Flecha Octave</t>
        </is>
      </c>
      <c r="D50" s="36" t="n">
        <v>8</v>
      </c>
    </row>
    <row r="51">
      <c r="A51" s="15" t="inlineStr">
        <is>
          <t>|Excel − Octave| en P(200)</t>
        </is>
      </c>
      <c r="B51" s="22">
        <f>ABS(B45-B50)</f>
        <v/>
      </c>
      <c r="C51" s="23">
        <f>IF(B51&lt;1E-8,"OK","Revisar")</f>
        <v/>
      </c>
    </row>
    <row r="53" ht="15" customHeight="1">
      <c r="A53" s="8" t="inlineStr">
        <is>
          <t>Gráfica: datos, polinomio, cota de las torres (50 m) y el segmento de la flecha en x = 200.</t>
        </is>
      </c>
      <c r="B53" s="9" t="n"/>
      <c r="C53" s="9" t="n"/>
      <c r="D53" s="9" t="n"/>
      <c r="E53" s="9" t="n"/>
      <c r="F53" s="9" t="n"/>
      <c r="G53" s="9" t="n"/>
      <c r="H53" s="9" t="n"/>
    </row>
    <row r="76" ht="22" customHeight="1">
      <c r="A76" s="31" t="inlineStr">
        <is>
          <t>EVIDENCIA OCTAVE — salida completa (texto para copiar al informe)</t>
        </is>
      </c>
      <c r="B76" s="32" t="n"/>
      <c r="C76" s="32" t="n"/>
      <c r="D76" s="32" t="n"/>
      <c r="E76" s="32" t="n"/>
      <c r="F76" s="32" t="n"/>
      <c r="G76" s="32" t="n"/>
      <c r="H76" s="32" t="n"/>
    </row>
    <row r="77" ht="14" customHeight="1">
      <c r="A77" s="34" t="inlineStr">
        <is>
          <t>EJERCICIO 3 — EVIDENCIA OCTAVE</t>
        </is>
      </c>
    </row>
    <row r="78" ht="14" customHeight="1">
      <c r="A78" s="34" t="inlineStr">
        <is>
          <t>Newton diferencias divididas. Punto medio x=200. Flecha = 50 - P(200).</t>
        </is>
      </c>
    </row>
    <row r="79" ht="14" customHeight="1">
      <c r="A79" s="34" t="inlineStr">
        <is>
          <t>COEF,5.0000000000000000e+01,-5.5999999999999987e-02,1.9999999999999987e-04,9.6179224978552814e-22,-6.2766312404834787e-24</t>
        </is>
      </c>
    </row>
    <row r="80" ht="14" customHeight="1">
      <c r="A80" s="34" t="inlineStr">
        <is>
          <t>P200,42.000000000000</t>
        </is>
      </c>
    </row>
    <row r="81" ht="14" customHeight="1">
      <c r="A81" s="34" t="inlineStr">
        <is>
          <t>FLECHA,8.000000000000</t>
        </is>
      </c>
    </row>
    <row r="82" ht="14" customHeight="1">
      <c r="A82" s="34" t="inlineStr">
        <is>
          <t>TABLA_DIFERENCIAS (fila i, orden 0..4)</t>
        </is>
      </c>
    </row>
    <row r="83" ht="14" customHeight="1">
      <c r="A83" s="34" t="inlineStr">
        <is>
          <t>DD,5.0000000000000000e+01,-5.5999999999999987e-02,1.9999999999999987e-04,9.6179224978552814e-22,-6.2766312404834787e-24</t>
        </is>
      </c>
    </row>
    <row r="84" ht="14" customHeight="1">
      <c r="A84" s="34" t="inlineStr">
        <is>
          <t>DD,4.3280000000000001e+01,-1.0000000000000012e-02,2.0000000000000017e-04,-1.5488602464078634e-21,0.0000000000000000e+00</t>
        </is>
      </c>
    </row>
    <row r="85" ht="14" customHeight="1">
      <c r="A85" s="34" t="inlineStr">
        <is>
          <t>DD,4.2180000000000000e+01,2.8000000000000025e-02,1.9999999999999974e-04,0.0000000000000000e+00,0.0000000000000000e+00</t>
        </is>
      </c>
    </row>
    <row r="86" ht="14" customHeight="1">
      <c r="A86" s="34" t="inlineStr">
        <is>
          <t>DD,4.4420000000000002e+01,6.1999999999999979e-02,0.0000000000000000e+00,0.0000000000000000e+00,0.0000000000000000e+00</t>
        </is>
      </c>
    </row>
    <row r="87" ht="14" customHeight="1">
      <c r="A87" s="34" t="inlineStr">
        <is>
          <t>DD,5.0000000000000000e+01,0.0000000000000000e+00,0.0000000000000000e+00,0.0000000000000000e+00,0.0000000000000000e+00</t>
        </is>
      </c>
    </row>
    <row r="88" ht="14" customHeight="1">
      <c r="A88" s="34" t="inlineStr">
        <is>
          <t>MIN_POLINOMIO,x=200.000000,y=42.000000</t>
        </is>
      </c>
    </row>
  </sheetData>
  <mergeCells count="46">
    <mergeCell ref="A9:H9"/>
    <mergeCell ref="A30:H30"/>
    <mergeCell ref="A39:H39"/>
    <mergeCell ref="A77:H77"/>
    <mergeCell ref="A15:H15"/>
    <mergeCell ref="A83:H83"/>
    <mergeCell ref="A24:H24"/>
    <mergeCell ref="A82:H82"/>
    <mergeCell ref="A49:H49"/>
    <mergeCell ref="A1:H1"/>
    <mergeCell ref="A79:H79"/>
    <mergeCell ref="A6:H6"/>
    <mergeCell ref="A88:H88"/>
    <mergeCell ref="A78:H78"/>
    <mergeCell ref="A87:H87"/>
    <mergeCell ref="A7:H7"/>
    <mergeCell ref="A25:H25"/>
    <mergeCell ref="A16:H16"/>
    <mergeCell ref="A80:H80"/>
    <mergeCell ref="A84:H84"/>
    <mergeCell ref="A27:H27"/>
    <mergeCell ref="A12:H12"/>
    <mergeCell ref="A18:H18"/>
    <mergeCell ref="A3:H3"/>
    <mergeCell ref="A21:H21"/>
    <mergeCell ref="A26:H26"/>
    <mergeCell ref="A86:H86"/>
    <mergeCell ref="A2:H2"/>
    <mergeCell ref="A85:H85"/>
    <mergeCell ref="A76:H76"/>
    <mergeCell ref="A14:H14"/>
    <mergeCell ref="A5:H5"/>
    <mergeCell ref="A23:H23"/>
    <mergeCell ref="A8:H8"/>
    <mergeCell ref="A22:H22"/>
    <mergeCell ref="A17:H17"/>
    <mergeCell ref="A4:H4"/>
    <mergeCell ref="A53:H53"/>
    <mergeCell ref="A29:H29"/>
    <mergeCell ref="A20:H20"/>
    <mergeCell ref="A81:H81"/>
    <mergeCell ref="A10:H10"/>
    <mergeCell ref="A28:H28"/>
    <mergeCell ref="A13:H13"/>
    <mergeCell ref="A19:H19"/>
    <mergeCell ref="A31:H31"/>
  </mergeCells>
  <pageMargins left="0.4" right="0.4" top="0.6" bottom="0.5" header="0.25" footer="0.25"/>
  <pageSetup orientation="landscape" paperSize="3" fitToHeight="0" fitToWidth="1"/>
  <headerFooter>
    <oddHeader>&amp;LMétodos numéricos — examen modelo U2</oddHeader>
    <oddFooter>&amp;RHoja &amp;P</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1F4E79"/>
    <outlinePr summaryBelow="1" summaryRight="1"/>
    <pageSetUpPr fitToPage="1"/>
  </sheetPr>
  <dimension ref="A1:H114"/>
  <sheetViews>
    <sheetView showGridLines="0" zoomScale="11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2" customHeight="1">
      <c r="A1" s="1" t="inlineStr">
        <is>
          <t>FACULTAD DE INGENIERÍA Y ARQUITECTURA</t>
        </is>
      </c>
      <c r="B1" s="2" t="n"/>
      <c r="C1" s="2" t="n"/>
      <c r="D1" s="2" t="n"/>
      <c r="E1" s="2" t="n"/>
      <c r="F1" s="2" t="n"/>
      <c r="G1" s="2" t="n"/>
      <c r="H1" s="2" t="n"/>
    </row>
    <row r="2" ht="22" customHeight="1">
      <c r="A2" s="1" t="inlineStr">
        <is>
          <t>EXAMEN DE UNIDAD DE MÉTODOS NUMÉRICOS  ·  Mg. Jessica Perez Rivera</t>
        </is>
      </c>
      <c r="B2" s="2" t="n"/>
      <c r="C2" s="2" t="n"/>
      <c r="D2" s="2" t="n"/>
      <c r="E2" s="2" t="n"/>
      <c r="F2" s="2" t="n"/>
      <c r="G2" s="2" t="n"/>
      <c r="H2" s="2" t="n"/>
    </row>
    <row r="3" ht="15" customHeight="1">
      <c r="A3" s="3" t="inlineStr">
        <is>
          <t>Nombre: ______________________________________________</t>
        </is>
      </c>
    </row>
    <row r="4" ht="22" customHeight="1">
      <c r="A4" s="10" t="inlineStr">
        <is>
          <t>EJERCICIO 4 — Velocidad en un tubo (Pitot), parábola por mínimos cuadrados</t>
        </is>
      </c>
      <c r="B4" s="11" t="n"/>
      <c r="C4" s="11" t="n"/>
      <c r="D4" s="11" t="n"/>
      <c r="E4" s="11" t="n"/>
      <c r="F4" s="11" t="n"/>
      <c r="G4" s="11" t="n"/>
      <c r="H4" s="11" t="n"/>
    </row>
    <row r="5" ht="22" customHeight="1">
      <c r="A5" s="12" t="inlineStr">
        <is>
          <t>ENUNCIADO (transcrito del PDF del examen modelo)</t>
        </is>
      </c>
      <c r="B5" s="11" t="n"/>
      <c r="C5" s="11" t="n"/>
      <c r="D5" s="11" t="n"/>
      <c r="E5" s="11" t="n"/>
      <c r="F5" s="11" t="n"/>
      <c r="G5" s="11" t="n"/>
      <c r="H5" s="11" t="n"/>
    </row>
    <row r="6" ht="15" customHeight="1">
      <c r="A6" s="3" t="inlineStr">
        <is>
          <t>Tubería circular de diámetro interior 20 cm. r es la distancia al centro, en cm.</t>
        </is>
      </c>
    </row>
    <row r="7" ht="15" customHeight="1">
      <c r="A7" s="3" t="inlineStr">
        <is>
          <t>v (cm/s):  600 , 550 , 450 , 312 , 240</t>
        </is>
      </c>
    </row>
    <row r="8" ht="15" customHeight="1">
      <c r="A8" s="3" t="inlineStr">
        <is>
          <t>r (cm):  0 , 3 , 5 , 7 , 8</t>
        </is>
      </c>
    </row>
    <row r="9" ht="15" customHeight="1">
      <c r="A9" s="3" t="inlineStr">
        <is>
          <t>a) Curva v = f(r) que aproxima los datos.  b) Velocidad en r = 4 cm.</t>
        </is>
      </c>
    </row>
    <row r="10" ht="15" customHeight="1">
      <c r="A10" s="3" t="inlineStr">
        <is>
          <t>Emplear ecuación parabólica por mínimos cuadrados: v = a·r² + b·r + c.</t>
        </is>
      </c>
    </row>
    <row r="12" ht="22" customHeight="1">
      <c r="A12" s="13" t="inlineStr">
        <is>
          <t>DESARROLLO PARA COPIAR — sumas y ecuaciones normales</t>
        </is>
      </c>
      <c r="B12" s="14" t="n"/>
      <c r="C12" s="14" t="n"/>
      <c r="D12" s="14" t="n"/>
      <c r="E12" s="14" t="n"/>
      <c r="F12" s="14" t="n"/>
      <c r="G12" s="14" t="n"/>
      <c r="H12" s="14" t="n"/>
    </row>
    <row r="13" ht="15" customHeight="1">
      <c r="A13" s="4" t="inlineStr">
        <is>
          <t>Con n puntos, el modelo v = a r² + b r + c lleva al sistema normal (incógnitas c, b, a):</t>
        </is>
      </c>
      <c r="B13" s="5" t="n"/>
      <c r="C13" s="5" t="n"/>
      <c r="D13" s="5" t="n"/>
      <c r="E13" s="5" t="n"/>
      <c r="F13" s="5" t="n"/>
      <c r="G13" s="5" t="n"/>
      <c r="H13" s="5" t="n"/>
    </row>
    <row r="14" ht="15" customHeight="1">
      <c r="A14" s="4" t="inlineStr">
        <is>
          <t>n·c + (Σr)·b + (Σr²)·a = Σv</t>
        </is>
      </c>
      <c r="B14" s="5" t="n"/>
      <c r="C14" s="5" t="n"/>
      <c r="D14" s="5" t="n"/>
      <c r="E14" s="5" t="n"/>
      <c r="F14" s="5" t="n"/>
      <c r="G14" s="5" t="n"/>
      <c r="H14" s="5" t="n"/>
    </row>
    <row r="15" ht="15" customHeight="1">
      <c r="A15" s="4" t="inlineStr">
        <is>
          <t>(Σr)·c + (Σr²)·b + (Σr³)·a = Σ(r v)</t>
        </is>
      </c>
      <c r="B15" s="5" t="n"/>
      <c r="C15" s="5" t="n"/>
      <c r="D15" s="5" t="n"/>
      <c r="E15" s="5" t="n"/>
      <c r="F15" s="5" t="n"/>
      <c r="G15" s="5" t="n"/>
      <c r="H15" s="5" t="n"/>
    </row>
    <row r="16" ht="15" customHeight="1">
      <c r="A16" s="4" t="inlineStr">
        <is>
          <t>(Σr²)·c + (Σr³)·b + (Σr⁴)·a = Σ(r² v)</t>
        </is>
      </c>
      <c r="B16" s="5" t="n"/>
      <c r="C16" s="5" t="n"/>
      <c r="D16" s="5" t="n"/>
      <c r="E16" s="5" t="n"/>
      <c r="F16" s="5" t="n"/>
      <c r="G16" s="5" t="n"/>
      <c r="H16" s="5" t="n"/>
    </row>
    <row r="17" ht="30" customHeight="1">
      <c r="A17" s="4" t="inlineStr">
        <is>
          <t>Cada producto está en una columna. La suma es la fórmula SUM de esa columna: así se ve de dónde sale cada coeficiente.</t>
        </is>
      </c>
      <c r="B17" s="5" t="n"/>
      <c r="C17" s="5" t="n"/>
      <c r="D17" s="5" t="n"/>
      <c r="E17" s="5" t="n"/>
      <c r="F17" s="5" t="n"/>
      <c r="G17" s="5" t="n"/>
      <c r="H17" s="5" t="n"/>
    </row>
    <row r="18" ht="30" customHeight="1">
      <c r="A18" s="4" t="inlineStr">
        <is>
          <t>Luego el sistema 3×3 se resuelve por Cramer. El determinante de cada celda está expandido (a11(a22·a33−a23·a32)−…).</t>
        </is>
      </c>
      <c r="B18" s="5" t="n"/>
      <c r="C18" s="5" t="n"/>
      <c r="D18" s="5" t="n"/>
      <c r="E18" s="5" t="n"/>
      <c r="F18" s="5" t="n"/>
      <c r="G18" s="5" t="n"/>
      <c r="H18" s="5" t="n"/>
    </row>
    <row r="19" ht="15" customHeight="1">
      <c r="A19" s="4" t="inlineStr">
        <is>
          <t>Al final, v(4) = a·16 + b·4 + c.</t>
        </is>
      </c>
      <c r="B19" s="5" t="n"/>
      <c r="C19" s="5" t="n"/>
      <c r="D19" s="5" t="n"/>
      <c r="E19" s="5" t="n"/>
      <c r="F19" s="5" t="n"/>
      <c r="G19" s="5" t="n"/>
      <c r="H19" s="5" t="n"/>
    </row>
    <row r="20" ht="22" customHeight="1">
      <c r="A20" s="6" t="inlineStr">
        <is>
          <t>i</t>
        </is>
      </c>
      <c r="B20" s="6" t="inlineStr">
        <is>
          <t>r</t>
        </is>
      </c>
      <c r="C20" s="6" t="inlineStr">
        <is>
          <t>v</t>
        </is>
      </c>
      <c r="D20" s="6" t="inlineStr">
        <is>
          <t>r²</t>
        </is>
      </c>
      <c r="E20" s="6" t="inlineStr">
        <is>
          <t>r³</t>
        </is>
      </c>
      <c r="F20" s="6" t="inlineStr">
        <is>
          <t>r⁴</t>
        </is>
      </c>
      <c r="G20" s="6" t="inlineStr">
        <is>
          <t>r·v</t>
        </is>
      </c>
      <c r="H20" s="6" t="inlineStr">
        <is>
          <t>r²·v</t>
        </is>
      </c>
    </row>
    <row r="21">
      <c r="A21" s="24" t="n">
        <v>1</v>
      </c>
      <c r="B21" s="37" t="n">
        <v>0</v>
      </c>
      <c r="C21" s="37" t="n">
        <v>600</v>
      </c>
      <c r="D21" s="33">
        <f>B21^2</f>
        <v/>
      </c>
      <c r="E21" s="33">
        <f>B21^3</f>
        <v/>
      </c>
      <c r="F21" s="33">
        <f>B21^4</f>
        <v/>
      </c>
      <c r="G21" s="33">
        <f>B21*C21</f>
        <v/>
      </c>
      <c r="H21" s="33">
        <f>D21*C21</f>
        <v/>
      </c>
    </row>
    <row r="22">
      <c r="A22" s="24" t="n">
        <v>2</v>
      </c>
      <c r="B22" s="37" t="n">
        <v>3</v>
      </c>
      <c r="C22" s="37" t="n">
        <v>550</v>
      </c>
      <c r="D22" s="33">
        <f>B22^2</f>
        <v/>
      </c>
      <c r="E22" s="33">
        <f>B22^3</f>
        <v/>
      </c>
      <c r="F22" s="33">
        <f>B22^4</f>
        <v/>
      </c>
      <c r="G22" s="33">
        <f>B22*C22</f>
        <v/>
      </c>
      <c r="H22" s="33">
        <f>D22*C22</f>
        <v/>
      </c>
    </row>
    <row r="23">
      <c r="A23" s="24" t="n">
        <v>3</v>
      </c>
      <c r="B23" s="37" t="n">
        <v>5</v>
      </c>
      <c r="C23" s="37" t="n">
        <v>450</v>
      </c>
      <c r="D23" s="33">
        <f>B23^2</f>
        <v/>
      </c>
      <c r="E23" s="33">
        <f>B23^3</f>
        <v/>
      </c>
      <c r="F23" s="33">
        <f>B23^4</f>
        <v/>
      </c>
      <c r="G23" s="33">
        <f>B23*C23</f>
        <v/>
      </c>
      <c r="H23" s="33">
        <f>D23*C23</f>
        <v/>
      </c>
    </row>
    <row r="24">
      <c r="A24" s="24" t="n">
        <v>4</v>
      </c>
      <c r="B24" s="37" t="n">
        <v>7</v>
      </c>
      <c r="C24" s="37" t="n">
        <v>312</v>
      </c>
      <c r="D24" s="33">
        <f>B24^2</f>
        <v/>
      </c>
      <c r="E24" s="33">
        <f>B24^3</f>
        <v/>
      </c>
      <c r="F24" s="33">
        <f>B24^4</f>
        <v/>
      </c>
      <c r="G24" s="33">
        <f>B24*C24</f>
        <v/>
      </c>
      <c r="H24" s="33">
        <f>D24*C24</f>
        <v/>
      </c>
    </row>
    <row r="25">
      <c r="A25" s="24" t="n">
        <v>5</v>
      </c>
      <c r="B25" s="37" t="n">
        <v>8</v>
      </c>
      <c r="C25" s="37" t="n">
        <v>240</v>
      </c>
      <c r="D25" s="33">
        <f>B25^2</f>
        <v/>
      </c>
      <c r="E25" s="33">
        <f>B25^3</f>
        <v/>
      </c>
      <c r="F25" s="33">
        <f>B25^4</f>
        <v/>
      </c>
      <c r="G25" s="33">
        <f>B25*C25</f>
        <v/>
      </c>
      <c r="H25" s="33">
        <f>D25*C25</f>
        <v/>
      </c>
    </row>
    <row r="26">
      <c r="A26" s="15" t="inlineStr">
        <is>
          <t>SUMAS</t>
        </is>
      </c>
      <c r="B26" s="40">
        <f>SUM(B21:B25)</f>
        <v/>
      </c>
      <c r="C26" s="40">
        <f>SUM(C21:C25)</f>
        <v/>
      </c>
      <c r="D26" s="40">
        <f>SUM(D21:D25)</f>
        <v/>
      </c>
      <c r="E26" s="40">
        <f>SUM(E21:E25)</f>
        <v/>
      </c>
      <c r="F26" s="40">
        <f>SUM(F21:F25)</f>
        <v/>
      </c>
      <c r="G26" s="40">
        <f>SUM(G21:G25)</f>
        <v/>
      </c>
      <c r="H26" s="40">
        <f>SUM(H21:H25)</f>
        <v/>
      </c>
    </row>
    <row r="28" ht="15" customHeight="1">
      <c r="A28" s="4" t="inlineStr">
        <is>
          <t>n = 5.  Sistema, copiando las sumas de la fila 26:</t>
        </is>
      </c>
      <c r="B28" s="5" t="n"/>
      <c r="C28" s="5" t="n"/>
      <c r="D28" s="5" t="n"/>
      <c r="E28" s="5" t="n"/>
      <c r="F28" s="5" t="n"/>
      <c r="G28" s="5" t="n"/>
      <c r="H28" s="5" t="n"/>
    </row>
    <row r="29" ht="22" customHeight="1">
      <c r="A29" s="6" t="inlineStr"/>
      <c r="B29" s="6" t="inlineStr">
        <is>
          <t>coef c</t>
        </is>
      </c>
      <c r="C29" s="6" t="inlineStr">
        <is>
          <t>coef b</t>
        </is>
      </c>
      <c r="D29" s="6" t="inlineStr">
        <is>
          <t>coef a</t>
        </is>
      </c>
      <c r="E29" s="6" t="inlineStr">
        <is>
          <t>término</t>
        </is>
      </c>
    </row>
    <row r="30">
      <c r="A30" s="24" t="inlineStr">
        <is>
          <t>ec. 1</t>
        </is>
      </c>
      <c r="B30" s="33" t="n">
        <v>5</v>
      </c>
      <c r="C30" s="33">
        <f>B26</f>
        <v/>
      </c>
      <c r="D30" s="33">
        <f>D26</f>
        <v/>
      </c>
      <c r="E30" s="33">
        <f>C26</f>
        <v/>
      </c>
    </row>
    <row r="31">
      <c r="A31" s="24" t="inlineStr">
        <is>
          <t>ec. 2</t>
        </is>
      </c>
      <c r="B31" s="33">
        <f>B26</f>
        <v/>
      </c>
      <c r="C31" s="33">
        <f>D26</f>
        <v/>
      </c>
      <c r="D31" s="33">
        <f>E26</f>
        <v/>
      </c>
      <c r="E31" s="33">
        <f>G26</f>
        <v/>
      </c>
    </row>
    <row r="32">
      <c r="A32" s="24" t="inlineStr">
        <is>
          <t>ec. 3</t>
        </is>
      </c>
      <c r="B32" s="33">
        <f>D26</f>
        <v/>
      </c>
      <c r="C32" s="33">
        <f>E26</f>
        <v/>
      </c>
      <c r="D32" s="33">
        <f>F26</f>
        <v/>
      </c>
      <c r="E32" s="33">
        <f>H26</f>
        <v/>
      </c>
    </row>
    <row r="33">
      <c r="A33" s="15" t="inlineStr">
        <is>
          <t>det(A) Cramer</t>
        </is>
      </c>
      <c r="B33" s="35">
        <f>(B30*(C31*D32-D31*C32)-C30*(B31*D32-D31*B32)+D30*(B31*C32-C31*B32))</f>
        <v/>
      </c>
    </row>
    <row r="34">
      <c r="A34" s="15" t="inlineStr">
        <is>
          <t>c = det(A_c)/det</t>
        </is>
      </c>
      <c r="B34" s="19">
        <f>((E30*(C31*D32-D31*C32)-C30*(E31*D32-D31*E32)+D30*(E31*C32-C31*E32)))/B33</f>
        <v/>
      </c>
    </row>
    <row r="35">
      <c r="A35" s="15" t="inlineStr">
        <is>
          <t>b = det(A_b)/det</t>
        </is>
      </c>
      <c r="B35" s="19">
        <f>((B30*(E31*D32-D31*E32)-E30*(B31*D32-D31*B32)+D30*(B31*E32-E31*B32)))/B33</f>
        <v/>
      </c>
    </row>
    <row r="36">
      <c r="A36" s="15" t="inlineStr">
        <is>
          <t>a = det(A_a)/det</t>
        </is>
      </c>
      <c r="B36" s="19">
        <f>((B30*(C31*E32-E31*C32)-C30*(B31*E32-E31*B32)+E30*(B31*C32-C31*B32)))/B33</f>
        <v/>
      </c>
    </row>
    <row r="37">
      <c r="A37" s="15" t="inlineStr">
        <is>
          <t>v(4) = a·16 + b·4 + c</t>
        </is>
      </c>
      <c r="B37" s="19">
        <f>B36*16+B35*4+B34</f>
        <v/>
      </c>
    </row>
    <row r="39" ht="15" customHeight="1">
      <c r="A39" s="4" t="inlineStr">
        <is>
          <t>Residuos punto a punto (v − v̂). Sirven para copiar la tabla del ajuste.</t>
        </is>
      </c>
      <c r="B39" s="5" t="n"/>
      <c r="C39" s="5" t="n"/>
      <c r="D39" s="5" t="n"/>
      <c r="E39" s="5" t="n"/>
      <c r="F39" s="5" t="n"/>
      <c r="G39" s="5" t="n"/>
      <c r="H39" s="5" t="n"/>
    </row>
    <row r="40" ht="22" customHeight="1">
      <c r="A40" s="6" t="inlineStr">
        <is>
          <t>r</t>
        </is>
      </c>
      <c r="B40" s="6" t="inlineStr">
        <is>
          <t>v medido</t>
        </is>
      </c>
      <c r="C40" s="6" t="inlineStr">
        <is>
          <t>v̂ = a r²+b r+c</t>
        </is>
      </c>
      <c r="D40" s="6" t="inlineStr">
        <is>
          <t>residuo</t>
        </is>
      </c>
    </row>
    <row r="41">
      <c r="A41" s="33">
        <f>B21</f>
        <v/>
      </c>
      <c r="B41" s="35">
        <f>C21</f>
        <v/>
      </c>
      <c r="C41" s="41">
        <f>$B$36*A41^2+$B$35*A41+$B$34</f>
        <v/>
      </c>
      <c r="D41" s="41">
        <f>B41-C41</f>
        <v/>
      </c>
    </row>
    <row r="42">
      <c r="A42" s="33">
        <f>B22</f>
        <v/>
      </c>
      <c r="B42" s="35">
        <f>C22</f>
        <v/>
      </c>
      <c r="C42" s="41">
        <f>$B$36*A42^2+$B$35*A42+$B$34</f>
        <v/>
      </c>
      <c r="D42" s="41">
        <f>B42-C42</f>
        <v/>
      </c>
    </row>
    <row r="43">
      <c r="A43" s="33">
        <f>B23</f>
        <v/>
      </c>
      <c r="B43" s="35">
        <f>C23</f>
        <v/>
      </c>
      <c r="C43" s="41">
        <f>$B$36*A43^2+$B$35*A43+$B$34</f>
        <v/>
      </c>
      <c r="D43" s="41">
        <f>B43-C43</f>
        <v/>
      </c>
    </row>
    <row r="44">
      <c r="A44" s="33">
        <f>B24</f>
        <v/>
      </c>
      <c r="B44" s="35">
        <f>C24</f>
        <v/>
      </c>
      <c r="C44" s="41">
        <f>$B$36*A44^2+$B$35*A44+$B$34</f>
        <v/>
      </c>
      <c r="D44" s="41">
        <f>B44-C44</f>
        <v/>
      </c>
    </row>
    <row r="45">
      <c r="A45" s="33">
        <f>B25</f>
        <v/>
      </c>
      <c r="B45" s="35">
        <f>C25</f>
        <v/>
      </c>
      <c r="C45" s="41">
        <f>$B$36*A45^2+$B$35*A45+$B$34</f>
        <v/>
      </c>
      <c r="D45" s="41">
        <f>B45-C45</f>
        <v/>
      </c>
    </row>
    <row r="46">
      <c r="A46" s="15" t="inlineStr">
        <is>
          <t>SSE = Σ residuo²</t>
        </is>
      </c>
      <c r="B46" s="41">
        <f>SUMPRODUCT(D41:D45,D41:D45)</f>
        <v/>
      </c>
    </row>
    <row r="48" ht="22" customHeight="1">
      <c r="A48" s="31" t="inlineStr">
        <is>
          <t>EVIDENCIA OCTAVE y prueba contra el Cramer de esta hoja</t>
        </is>
      </c>
      <c r="B48" s="32" t="n"/>
      <c r="C48" s="32" t="n"/>
      <c r="D48" s="32" t="n"/>
      <c r="E48" s="32" t="n"/>
      <c r="F48" s="32" t="n"/>
      <c r="G48" s="32" t="n"/>
      <c r="H48" s="32" t="n"/>
    </row>
    <row r="49">
      <c r="A49" s="15" t="inlineStr">
        <is>
          <t>a Octave</t>
        </is>
      </c>
      <c r="B49" s="42" t="n">
        <v>-5.347188685754</v>
      </c>
      <c r="C49" s="15" t="inlineStr">
        <is>
          <t>|a Excel−Octave|</t>
        </is>
      </c>
      <c r="D49" s="22">
        <f>ABS(B36-B49)</f>
        <v/>
      </c>
    </row>
    <row r="50">
      <c r="A50" s="15" t="inlineStr">
        <is>
          <t>b Octave</t>
        </is>
      </c>
      <c r="B50" s="42" t="n">
        <v>-3.066747154191</v>
      </c>
      <c r="D50" s="22">
        <f>ABS(B35-B50)</f>
        <v/>
      </c>
    </row>
    <row r="51">
      <c r="A51" s="15" t="inlineStr">
        <is>
          <t>c Octave</t>
        </is>
      </c>
      <c r="B51" s="42" t="n">
        <v>601.714384270438</v>
      </c>
      <c r="D51" s="22">
        <f>ABS(B34-B51)</f>
        <v/>
      </c>
    </row>
    <row r="52">
      <c r="A52" s="15" t="inlineStr">
        <is>
          <t>v(4) Octave</t>
        </is>
      </c>
      <c r="B52" s="36" t="n">
        <v>503.892376681614</v>
      </c>
      <c r="D52" s="22">
        <f>ABS(B37-B52)</f>
        <v/>
      </c>
    </row>
    <row r="53">
      <c r="B53" s="23">
        <f>IF(D52&lt;1E-6,"OK v(4)","Revisar")</f>
        <v/>
      </c>
    </row>
    <row r="55" ht="15" customHeight="1">
      <c r="A55" s="8" t="inlineStr">
        <is>
          <t>Gráfica del ajuste y del punto r = 4 cm.</t>
        </is>
      </c>
      <c r="B55" s="9" t="n"/>
      <c r="C55" s="9" t="n"/>
      <c r="D55" s="9" t="n"/>
      <c r="E55" s="9" t="n"/>
      <c r="F55" s="9" t="n"/>
      <c r="G55" s="9" t="n"/>
      <c r="H55" s="9" t="n"/>
    </row>
    <row r="78" ht="15" customHeight="1">
      <c r="A78" s="8" t="inlineStr">
        <is>
          <t>Gráfica de residuos en cada r medido.</t>
        </is>
      </c>
      <c r="B78" s="9" t="n"/>
      <c r="C78" s="9" t="n"/>
      <c r="D78" s="9" t="n"/>
      <c r="E78" s="9" t="n"/>
      <c r="F78" s="9" t="n"/>
      <c r="G78" s="9" t="n"/>
      <c r="H78" s="9" t="n"/>
    </row>
    <row r="101" ht="22" customHeight="1">
      <c r="A101" s="31" t="inlineStr">
        <is>
          <t>EVIDENCIA OCTAVE — salida completa (texto para copiar al informe)</t>
        </is>
      </c>
      <c r="B101" s="32" t="n"/>
      <c r="C101" s="32" t="n"/>
      <c r="D101" s="32" t="n"/>
      <c r="E101" s="32" t="n"/>
      <c r="F101" s="32" t="n"/>
      <c r="G101" s="32" t="n"/>
      <c r="H101" s="32" t="n"/>
    </row>
    <row r="102" ht="14" customHeight="1">
      <c r="A102" s="34" t="inlineStr">
        <is>
          <t>EJERCICIO 4 — EVIDENCIA OCTAVE</t>
        </is>
      </c>
    </row>
    <row r="103" ht="14" customHeight="1">
      <c r="A103" s="34" t="inlineStr">
        <is>
          <t>Modelo v = a*r^2 + b*r + c   (normales (M'M)c = M'v)</t>
        </is>
      </c>
    </row>
    <row r="104" ht="14" customHeight="1">
      <c r="A104" s="34" t="inlineStr">
        <is>
          <t>a,-5.347188685754</t>
        </is>
      </c>
    </row>
    <row r="105" ht="14" customHeight="1">
      <c r="A105" s="34" t="inlineStr">
        <is>
          <t>b,-3.066747154191</t>
        </is>
      </c>
    </row>
    <row r="106" ht="14" customHeight="1">
      <c r="A106" s="34" t="inlineStr">
        <is>
          <t>c,601.714384270438</t>
        </is>
      </c>
    </row>
    <row r="107" ht="14" customHeight="1">
      <c r="A107" s="34" t="inlineStr">
        <is>
          <t>v4,503.892376681614</t>
        </is>
      </c>
    </row>
    <row r="108" ht="14" customHeight="1">
      <c r="A108" s="34" t="inlineStr">
        <is>
          <t>i,r,v,vhat,residuo</t>
        </is>
      </c>
    </row>
    <row r="109" ht="14" customHeight="1">
      <c r="A109" s="34" t="inlineStr">
        <is>
          <t>1,0.0000,600.0000,601.71438427,-1.71438427e+00</t>
        </is>
      </c>
    </row>
    <row r="110" ht="14" customHeight="1">
      <c r="A110" s="34" t="inlineStr">
        <is>
          <t>2,3.0000,550.0000,544.38944464,5.61055536e+00</t>
        </is>
      </c>
    </row>
    <row r="111" ht="14" customHeight="1">
      <c r="A111" s="34" t="inlineStr">
        <is>
          <t>3,5.0000,450.0000,452.70093136,-2.70093136e+00</t>
        </is>
      </c>
    </row>
    <row r="112" ht="14" customHeight="1">
      <c r="A112" s="34" t="inlineStr">
        <is>
          <t>4,7.0000,312.0000,318.23490859,-6.23490859e+00</t>
        </is>
      </c>
    </row>
    <row r="113" ht="14" customHeight="1">
      <c r="A113" s="34" t="inlineStr">
        <is>
          <t>5,8.0000,240.0000,234.96033115,5.03966885e+00</t>
        </is>
      </c>
    </row>
    <row r="114" ht="14" customHeight="1">
      <c r="A114" s="34" t="inlineStr">
        <is>
          <t>SSE,1.059848223525e+02</t>
        </is>
      </c>
    </row>
  </sheetData>
  <mergeCells count="37">
    <mergeCell ref="A9:H9"/>
    <mergeCell ref="A48:H48"/>
    <mergeCell ref="A39:H39"/>
    <mergeCell ref="A114:H114"/>
    <mergeCell ref="A15:H15"/>
    <mergeCell ref="A107:H107"/>
    <mergeCell ref="A1:H1"/>
    <mergeCell ref="A103:H103"/>
    <mergeCell ref="A110:H110"/>
    <mergeCell ref="A6:H6"/>
    <mergeCell ref="A78:H78"/>
    <mergeCell ref="A7:H7"/>
    <mergeCell ref="A16:H16"/>
    <mergeCell ref="A108:H108"/>
    <mergeCell ref="A12:H12"/>
    <mergeCell ref="A18:H18"/>
    <mergeCell ref="A3:H3"/>
    <mergeCell ref="A101:H101"/>
    <mergeCell ref="A105:H105"/>
    <mergeCell ref="A55:H55"/>
    <mergeCell ref="A113:H113"/>
    <mergeCell ref="A2:H2"/>
    <mergeCell ref="A104:H104"/>
    <mergeCell ref="A14:H14"/>
    <mergeCell ref="A5:H5"/>
    <mergeCell ref="A8:H8"/>
    <mergeCell ref="A17:H17"/>
    <mergeCell ref="A4:H4"/>
    <mergeCell ref="A106:H106"/>
    <mergeCell ref="A109:H109"/>
    <mergeCell ref="A10:H10"/>
    <mergeCell ref="A28:H28"/>
    <mergeCell ref="A112:H112"/>
    <mergeCell ref="A13:H13"/>
    <mergeCell ref="A19:H19"/>
    <mergeCell ref="A102:H102"/>
    <mergeCell ref="A111:H111"/>
  </mergeCells>
  <pageMargins left="0.4" right="0.4" top="0.6" bottom="0.5" header="0.25" footer="0.25"/>
  <pageSetup orientation="landscape" paperSize="3" fitToHeight="0" fitToWidth="1"/>
  <headerFooter>
    <oddHeader>&amp;LMétodos numéricos — examen modelo U2</oddHeader>
    <oddFooter>&amp;RHoja &amp;P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1F4E79"/>
    <outlinePr summaryBelow="1" summaryRight="1"/>
    <pageSetUpPr fitToPage="1"/>
  </sheetPr>
  <dimension ref="A1:H75"/>
  <sheetViews>
    <sheetView showGridLines="0" zoomScale="110"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FACULTAD DE INGENIERÍA Y ARQUITECTURA</t>
        </is>
      </c>
      <c r="B1" s="2" t="n"/>
      <c r="C1" s="2" t="n"/>
      <c r="D1" s="2" t="n"/>
      <c r="E1" s="2" t="n"/>
      <c r="F1" s="2" t="n"/>
      <c r="G1" s="2" t="n"/>
      <c r="H1" s="2" t="n"/>
    </row>
    <row r="2" ht="22" customHeight="1">
      <c r="A2" s="1" t="inlineStr">
        <is>
          <t>EXAMEN DE UNIDAD DE MÉTODOS NUMÉRICOS  ·  Mg. Jessica Perez Rivera</t>
        </is>
      </c>
      <c r="B2" s="2" t="n"/>
      <c r="C2" s="2" t="n"/>
      <c r="D2" s="2" t="n"/>
      <c r="E2" s="2" t="n"/>
      <c r="F2" s="2" t="n"/>
      <c r="G2" s="2" t="n"/>
      <c r="H2" s="2" t="n"/>
    </row>
    <row r="3" ht="15" customHeight="1">
      <c r="A3" s="3" t="inlineStr">
        <is>
          <t>Nombre: ______________________________________________</t>
        </is>
      </c>
    </row>
    <row r="4" ht="22" customHeight="1">
      <c r="A4" s="10" t="inlineStr">
        <is>
          <t>EJERCICIO 5 — Interpolación inversa con Lagrange de grado 2</t>
        </is>
      </c>
      <c r="B4" s="11" t="n"/>
      <c r="C4" s="11" t="n"/>
      <c r="D4" s="11" t="n"/>
      <c r="E4" s="11" t="n"/>
      <c r="F4" s="11" t="n"/>
      <c r="G4" s="11" t="n"/>
      <c r="H4" s="11" t="n"/>
    </row>
    <row r="5" ht="22" customHeight="1">
      <c r="A5" s="12" t="inlineStr">
        <is>
          <t>ENUNCIADO (transcrito del PDF del examen modelo)</t>
        </is>
      </c>
      <c r="B5" s="11" t="n"/>
      <c r="C5" s="11" t="n"/>
      <c r="D5" s="11" t="n"/>
      <c r="E5" s="11" t="n"/>
      <c r="F5" s="11" t="n"/>
      <c r="G5" s="11" t="n"/>
      <c r="H5" s="11" t="n"/>
    </row>
    <row r="6" ht="15" customHeight="1">
      <c r="A6" s="3" t="inlineStr">
        <is>
          <t>y es la amplitud de un péndulo largo (cm) y x el tiempo (min).</t>
        </is>
      </c>
    </row>
    <row r="7" ht="15" customHeight="1">
      <c r="A7" s="3" t="inlineStr">
        <is>
          <t>Puntos:  0  1  2  3  4  5  6</t>
        </is>
      </c>
    </row>
    <row r="8" ht="15" customHeight="1">
      <c r="A8" s="3" t="inlineStr">
        <is>
          <t>x:  0.0  2.5  5.0  7.5  10.0  12.5  15.0</t>
        </is>
      </c>
    </row>
    <row r="9" ht="15" customHeight="1">
      <c r="A9" s="3" t="inlineStr">
        <is>
          <t>y:  10.00  4.97  2.47  1.22  0.61  0.30  0.14</t>
        </is>
      </c>
    </row>
    <row r="10" ht="15" customHeight="1">
      <c r="A10" s="3" t="inlineStr">
        <is>
          <t>Polinomio de Lagrange de segundo grado por los puntos (1), (2) y (3), y el x que corresponde a y = 2 cm.</t>
        </is>
      </c>
    </row>
    <row r="11" ht="15" customHeight="1">
      <c r="A11" s="3" t="inlineStr">
        <is>
          <t>Interpolación inversa: se intercambian los papeles. Se construye x = P(y) y se evalúa en y = 2.</t>
        </is>
      </c>
    </row>
    <row r="12" ht="15" customHeight="1">
      <c r="A12" s="3" t="inlineStr">
        <is>
          <t>Punto (1): y=4.97 , x=2.5.    Punto (2): y=2.47 , x=5.0.    Punto (3): y=1.22 , x=7.5.</t>
        </is>
      </c>
    </row>
    <row r="14" ht="22" customHeight="1">
      <c r="A14" s="13" t="inlineStr">
        <is>
          <t>DESARROLLO PARA COPIAR — cada factor del polinomio de Lagrange</t>
        </is>
      </c>
      <c r="B14" s="14" t="n"/>
      <c r="C14" s="14" t="n"/>
      <c r="D14" s="14" t="n"/>
      <c r="E14" s="14" t="n"/>
      <c r="F14" s="14" t="n"/>
      <c r="G14" s="14" t="n"/>
      <c r="H14" s="14" t="n"/>
    </row>
    <row r="15" ht="15" customHeight="1">
      <c r="A15" s="4" t="inlineStr">
        <is>
          <t>L1(y) = (y − y2)(y − y3) / ((y1 − y2)(y1 − y3))</t>
        </is>
      </c>
      <c r="B15" s="5" t="n"/>
      <c r="C15" s="5" t="n"/>
      <c r="D15" s="5" t="n"/>
      <c r="E15" s="5" t="n"/>
      <c r="F15" s="5" t="n"/>
      <c r="G15" s="5" t="n"/>
      <c r="H15" s="5" t="n"/>
    </row>
    <row r="16" ht="15" customHeight="1">
      <c r="A16" s="4" t="inlineStr">
        <is>
          <t>L2(y) = (y − y1)(y − y3) / ((y2 − y1)(y2 − y3))</t>
        </is>
      </c>
      <c r="B16" s="5" t="n"/>
      <c r="C16" s="5" t="n"/>
      <c r="D16" s="5" t="n"/>
      <c r="E16" s="5" t="n"/>
      <c r="F16" s="5" t="n"/>
      <c r="G16" s="5" t="n"/>
      <c r="H16" s="5" t="n"/>
    </row>
    <row r="17" ht="15" customHeight="1">
      <c r="A17" s="4" t="inlineStr">
        <is>
          <t>L3(y) = (y − y1)(y − y2) / ((y3 − y1)(y3 − y2))</t>
        </is>
      </c>
      <c r="B17" s="5" t="n"/>
      <c r="C17" s="5" t="n"/>
      <c r="D17" s="5" t="n"/>
      <c r="E17" s="5" t="n"/>
      <c r="F17" s="5" t="n"/>
      <c r="G17" s="5" t="n"/>
      <c r="H17" s="5" t="n"/>
    </row>
    <row r="18" ht="15" customHeight="1">
      <c r="A18" s="4" t="inlineStr">
        <is>
          <t>P(y) = x1·L1(y) + x2·L2(y) + x3·L3(y)</t>
        </is>
      </c>
      <c r="B18" s="5" t="n"/>
      <c r="C18" s="5" t="n"/>
      <c r="D18" s="5" t="n"/>
      <c r="E18" s="5" t="n"/>
      <c r="F18" s="5" t="n"/>
      <c r="G18" s="5" t="n"/>
      <c r="H18" s="5" t="n"/>
    </row>
    <row r="19" ht="15" customHeight="1">
      <c r="A19" s="4" t="inlineStr">
        <is>
          <t>Abajo el numerador y el denominador van en celdas distintas, para copiar la cuenta y no solo el resultado.</t>
        </is>
      </c>
      <c r="B19" s="5" t="n"/>
      <c r="C19" s="5" t="n"/>
      <c r="D19" s="5" t="n"/>
      <c r="E19" s="5" t="n"/>
      <c r="F19" s="5" t="n"/>
      <c r="G19" s="5" t="n"/>
      <c r="H19" s="5" t="n"/>
    </row>
    <row r="20" ht="15" customHeight="1">
      <c r="A20" s="4" t="inlineStr">
        <is>
          <t>Comprobación útil: L1+L2+L3 = 1 en cualquier y (partición de la unidad).</t>
        </is>
      </c>
      <c r="B20" s="5" t="n"/>
      <c r="C20" s="5" t="n"/>
      <c r="D20" s="5" t="n"/>
      <c r="E20" s="5" t="n"/>
      <c r="F20" s="5" t="n"/>
      <c r="G20" s="5" t="n"/>
      <c r="H20" s="5" t="n"/>
    </row>
    <row r="21">
      <c r="A21" s="15" t="inlineStr">
        <is>
          <t>y buscado</t>
        </is>
      </c>
      <c r="B21" s="43" t="n">
        <v>2</v>
      </c>
    </row>
    <row r="22" ht="22" customHeight="1">
      <c r="A22" s="6" t="inlineStr"/>
      <c r="B22" s="6" t="inlineStr">
        <is>
          <t>punto (1)</t>
        </is>
      </c>
      <c r="C22" s="6" t="inlineStr">
        <is>
          <t>punto (2)</t>
        </is>
      </c>
      <c r="D22" s="6" t="inlineStr">
        <is>
          <t>punto (3)</t>
        </is>
      </c>
    </row>
    <row r="23">
      <c r="A23" s="15" t="inlineStr">
        <is>
          <t>y_i</t>
        </is>
      </c>
      <c r="B23" s="38" t="n">
        <v>4.97</v>
      </c>
      <c r="C23" s="38" t="n">
        <v>2.47</v>
      </c>
      <c r="D23" s="38" t="n">
        <v>1.22</v>
      </c>
    </row>
    <row r="24">
      <c r="A24" s="15" t="inlineStr">
        <is>
          <t>x_i</t>
        </is>
      </c>
      <c r="B24" s="38" t="n">
        <v>2.5</v>
      </c>
      <c r="C24" s="38" t="n">
        <v>5</v>
      </c>
      <c r="D24" s="38" t="n">
        <v>7.5</v>
      </c>
    </row>
    <row r="26">
      <c r="A26" s="15" t="inlineStr">
        <is>
          <t>L1 numerador (y−y2)(y−y3)</t>
        </is>
      </c>
      <c r="B26" s="18">
        <f>($B$21-C23)*($B$21-D23)</f>
        <v/>
      </c>
    </row>
    <row r="27">
      <c r="A27" s="15" t="inlineStr">
        <is>
          <t>L1 denominador (y1−y2)(y1−y3)</t>
        </is>
      </c>
      <c r="B27" s="18">
        <f>(B23-C23)*(B23-D23)</f>
        <v/>
      </c>
    </row>
    <row r="28">
      <c r="A28" s="15" t="inlineStr">
        <is>
          <t>L2 numerador (y−y1)(y−y3)</t>
        </is>
      </c>
      <c r="B28" s="18">
        <f>($B$21-B23)*($B$21-D23)</f>
        <v/>
      </c>
    </row>
    <row r="29">
      <c r="A29" s="15" t="inlineStr">
        <is>
          <t>L2 denominador (y2−y1)(y2−y3)</t>
        </is>
      </c>
      <c r="B29" s="18">
        <f>(C23-B23)*(C23-D23)</f>
        <v/>
      </c>
    </row>
    <row r="30">
      <c r="A30" s="15" t="inlineStr">
        <is>
          <t>L3 numerador (y−y1)(y−y2)</t>
        </is>
      </c>
      <c r="B30" s="18">
        <f>($B$21-B23)*($B$21-C23)</f>
        <v/>
      </c>
    </row>
    <row r="31">
      <c r="A31" s="15" t="inlineStr">
        <is>
          <t>L3 denominador (y3−y1)(y3−y2)</t>
        </is>
      </c>
      <c r="B31" s="18">
        <f>(D23-B23)*(D23-C23)</f>
        <v/>
      </c>
    </row>
    <row r="33">
      <c r="A33" s="15" t="inlineStr">
        <is>
          <t>L1(2) = numerador/denominador</t>
        </is>
      </c>
      <c r="B33" s="44">
        <f>B26/B27</f>
        <v/>
      </c>
    </row>
    <row r="34">
      <c r="A34" s="15" t="inlineStr">
        <is>
          <t>L2(2) = numerador/denominador</t>
        </is>
      </c>
      <c r="B34" s="44">
        <f>B28/B29</f>
        <v/>
      </c>
    </row>
    <row r="35">
      <c r="A35" s="15" t="inlineStr">
        <is>
          <t>L3(2) = numerador/denominador</t>
        </is>
      </c>
      <c r="B35" s="44">
        <f>B30/B31</f>
        <v/>
      </c>
    </row>
    <row r="36">
      <c r="A36" s="15" t="inlineStr">
        <is>
          <t>Suma L1+L2+L3 (debe ser 1)</t>
        </is>
      </c>
      <c r="B36" s="45">
        <f>B33+B34+B35</f>
        <v/>
      </c>
    </row>
    <row r="37">
      <c r="A37" s="15" t="inlineStr">
        <is>
          <t>x(y=2) = x1 L1 + x2 L2 + x3 L3</t>
        </is>
      </c>
      <c r="B37" s="44">
        <f>B24*B33+C24*B34+D24*B35</f>
        <v/>
      </c>
    </row>
    <row r="38">
      <c r="A38" s="15" t="inlineStr">
        <is>
          <t>Prueba |suma Li − 1|</t>
        </is>
      </c>
      <c r="B38" s="22">
        <f>ABS(B36-1)</f>
        <v/>
      </c>
      <c r="C38" s="23">
        <f>IF(B38&lt;1E-9,"OK partición","Revisar")</f>
        <v/>
      </c>
    </row>
    <row r="40" ht="22" customHeight="1">
      <c r="A40" s="31" t="inlineStr">
        <is>
          <t>EVIDENCIA OCTAVE</t>
        </is>
      </c>
      <c r="B40" s="32" t="n"/>
      <c r="C40" s="32" t="n"/>
      <c r="D40" s="32" t="n"/>
      <c r="E40" s="32" t="n"/>
      <c r="F40" s="32" t="n"/>
      <c r="G40" s="32" t="n"/>
      <c r="H40" s="32" t="n"/>
    </row>
    <row r="41">
      <c r="A41" s="15" t="inlineStr">
        <is>
          <t>x(2) Octave</t>
        </is>
      </c>
      <c r="B41" s="46" t="n">
        <v>5.84224</v>
      </c>
    </row>
    <row r="42">
      <c r="A42" s="15" t="inlineStr">
        <is>
          <t>|Excel − Octave|</t>
        </is>
      </c>
      <c r="B42" s="22">
        <f>ABS(B37-B41)</f>
        <v/>
      </c>
      <c r="C42" s="23">
        <f>IF(B42&lt;1E-8,"OK","Revisar")</f>
        <v/>
      </c>
    </row>
    <row r="44" ht="15" customHeight="1">
      <c r="A44" s="8" t="inlineStr">
        <is>
          <t>Gráfica: x en función de y, los tres puntos usados y la lectura en y = 2 cm.</t>
        </is>
      </c>
      <c r="B44" s="9" t="n"/>
      <c r="C44" s="9" t="n"/>
      <c r="D44" s="9" t="n"/>
      <c r="E44" s="9" t="n"/>
      <c r="F44" s="9" t="n"/>
      <c r="G44" s="9" t="n"/>
      <c r="H44" s="9" t="n"/>
    </row>
    <row r="67" ht="22" customHeight="1">
      <c r="A67" s="31" t="inlineStr">
        <is>
          <t>EVIDENCIA OCTAVE — salida completa (texto para copiar al informe)</t>
        </is>
      </c>
      <c r="B67" s="32" t="n"/>
      <c r="C67" s="32" t="n"/>
      <c r="D67" s="32" t="n"/>
      <c r="E67" s="32" t="n"/>
      <c r="F67" s="32" t="n"/>
      <c r="G67" s="32" t="n"/>
      <c r="H67" s="32" t="n"/>
    </row>
    <row r="68" ht="14" customHeight="1">
      <c r="A68" s="34" t="inlineStr">
        <is>
          <t>EJERCICIO 5 — EVIDENCIA OCTAVE</t>
        </is>
      </c>
    </row>
    <row r="69" ht="14" customHeight="1">
      <c r="A69" s="34" t="inlineStr">
        <is>
          <t>Puntos (1)(2)(3): (y,x) = (4.97,2.5), (2.47,5.0), (1.22,7.5)</t>
        </is>
      </c>
    </row>
    <row r="70" ht="14" customHeight="1">
      <c r="A70" s="34" t="inlineStr">
        <is>
          <t>Se interpola x = P(y) y se evalua en y=2.</t>
        </is>
      </c>
    </row>
    <row r="71" ht="14" customHeight="1">
      <c r="A71" s="34" t="inlineStr">
        <is>
          <t>L1,-0.039104000000</t>
        </is>
      </c>
    </row>
    <row r="72" ht="14" customHeight="1">
      <c r="A72" s="34" t="inlineStr">
        <is>
          <t>L2,0.741312000000</t>
        </is>
      </c>
    </row>
    <row r="73" ht="14" customHeight="1">
      <c r="A73" s="34" t="inlineStr">
        <is>
          <t>L3,0.297792000000</t>
        </is>
      </c>
    </row>
    <row r="74" ht="14" customHeight="1">
      <c r="A74" s="34" t="inlineStr">
        <is>
          <t>x_en_y2,5.842240000000</t>
        </is>
      </c>
    </row>
    <row r="75" ht="14" customHeight="1">
      <c r="A75" s="34" t="inlineStr">
        <is>
          <t>suma_L,1.000000000000e+00</t>
        </is>
      </c>
    </row>
  </sheetData>
  <mergeCells count="30">
    <mergeCell ref="A9:H9"/>
    <mergeCell ref="A67:H67"/>
    <mergeCell ref="A15:H15"/>
    <mergeCell ref="A73:H73"/>
    <mergeCell ref="A11:H11"/>
    <mergeCell ref="A1:H1"/>
    <mergeCell ref="A6:H6"/>
    <mergeCell ref="A70:H70"/>
    <mergeCell ref="A69:H69"/>
    <mergeCell ref="A7:H7"/>
    <mergeCell ref="A16:H16"/>
    <mergeCell ref="A75:H75"/>
    <mergeCell ref="A74:H74"/>
    <mergeCell ref="A12:H12"/>
    <mergeCell ref="A18:H18"/>
    <mergeCell ref="A3:H3"/>
    <mergeCell ref="A2:H2"/>
    <mergeCell ref="A71:H71"/>
    <mergeCell ref="A14:H14"/>
    <mergeCell ref="A5:H5"/>
    <mergeCell ref="A8:H8"/>
    <mergeCell ref="A17:H17"/>
    <mergeCell ref="A4:H4"/>
    <mergeCell ref="A20:H20"/>
    <mergeCell ref="A72:H72"/>
    <mergeCell ref="A10:H10"/>
    <mergeCell ref="A19:H19"/>
    <mergeCell ref="A68:H68"/>
    <mergeCell ref="A44:H44"/>
    <mergeCell ref="A40:H40"/>
  </mergeCells>
  <pageMargins left="0.4" right="0.4" top="0.6" bottom="0.5" header="0.25" footer="0.25"/>
  <pageSetup orientation="landscape" paperSize="3" fitToHeight="0" fitToWidth="1"/>
  <headerFooter>
    <oddHeader>&amp;LMétodos numéricos — examen modelo U2</oddHeader>
    <oddFooter>&amp;RHoja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2026-10-26T01:26:28Z</dcterms:created>
  <dcterms:modified xsi:type="dcterms:W3CDTF">2026-10-26T01:26:28Z</dcterms:modified>
</cp:coreProperties>
</file>