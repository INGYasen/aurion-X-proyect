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B629E1E1-59DE-4C8E-BD0C-C6C222264171}" xr6:coauthVersionLast="47" xr6:coauthVersionMax="47" xr10:uidLastSave="{00000000-0000-0000-0000-000000000000}"/>
  <bookViews>
    <workbookView xWindow="-98" yWindow="-98" windowWidth="19396" windowHeight="11475" firstSheet="2" activeTab="3" xr2:uid="{A6F5606E-8550-4562-B023-57AE7EE6C57E}"/>
  </bookViews>
  <sheets>
    <sheet name="AJUSTE" sheetId="1" r:id="rId1"/>
    <sheet name="REGRESION_POLINOMIAL" sheetId="3" r:id="rId2"/>
    <sheet name="c a b" sheetId="4" r:id="rId3"/>
    <sheet name="Regresion multipl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5" l="1"/>
  <c r="P29" i="5"/>
  <c r="J11" i="5"/>
  <c r="P28" i="5"/>
  <c r="J10" i="5"/>
  <c r="J9" i="5"/>
  <c r="J8" i="5"/>
  <c r="J7" i="5"/>
  <c r="J6" i="5"/>
  <c r="J5" i="5"/>
  <c r="J4" i="5"/>
  <c r="L23" i="5"/>
  <c r="L22" i="5"/>
  <c r="L21" i="5"/>
  <c r="T10" i="5"/>
  <c r="T9" i="5"/>
  <c r="T8" i="5"/>
  <c r="T7" i="5"/>
  <c r="T6" i="5"/>
  <c r="T5" i="5"/>
  <c r="T4" i="5"/>
  <c r="V3" i="5"/>
  <c r="M19" i="5"/>
  <c r="L19" i="5"/>
  <c r="K19" i="5"/>
  <c r="M18" i="5"/>
  <c r="L18" i="5"/>
  <c r="K18" i="5"/>
  <c r="M17" i="5"/>
  <c r="L17" i="5"/>
  <c r="K17" i="5"/>
  <c r="P14" i="5"/>
  <c r="P13" i="5"/>
  <c r="P12" i="5"/>
  <c r="N14" i="5"/>
  <c r="N13" i="5"/>
  <c r="N12" i="5"/>
  <c r="L14" i="5"/>
  <c r="M14" i="5"/>
  <c r="K14" i="5"/>
  <c r="M13" i="5"/>
  <c r="L13" i="5"/>
  <c r="K13" i="5"/>
  <c r="M12" i="5"/>
  <c r="L12" i="5"/>
  <c r="K12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I8" i="5"/>
  <c r="H8" i="5"/>
  <c r="G8" i="5"/>
  <c r="F8" i="5"/>
  <c r="E8" i="5"/>
  <c r="I7" i="5"/>
  <c r="H7" i="5"/>
  <c r="G7" i="5"/>
  <c r="F7" i="5"/>
  <c r="E7" i="5"/>
  <c r="I6" i="5"/>
  <c r="H6" i="5"/>
  <c r="G6" i="5"/>
  <c r="F6" i="5"/>
  <c r="E6" i="5"/>
  <c r="I5" i="5"/>
  <c r="H5" i="5"/>
  <c r="G5" i="5"/>
  <c r="F5" i="5"/>
  <c r="E5" i="5"/>
  <c r="I4" i="5"/>
  <c r="H4" i="5"/>
  <c r="G4" i="5"/>
  <c r="F4" i="5"/>
  <c r="E4" i="5"/>
  <c r="C28" i="4"/>
  <c r="C27" i="4"/>
  <c r="C26" i="4"/>
  <c r="H24" i="4"/>
  <c r="H23" i="4"/>
  <c r="H22" i="4"/>
  <c r="E24" i="4"/>
  <c r="D24" i="4"/>
  <c r="C24" i="4"/>
  <c r="E23" i="4"/>
  <c r="D23" i="4"/>
  <c r="C23" i="4"/>
  <c r="E22" i="4"/>
  <c r="D22" i="4"/>
  <c r="C22" i="4"/>
  <c r="I17" i="4"/>
  <c r="H17" i="4"/>
  <c r="G17" i="4"/>
  <c r="F17" i="4"/>
  <c r="E17" i="4"/>
  <c r="D17" i="4"/>
  <c r="C17" i="4"/>
  <c r="I16" i="4"/>
  <c r="H16" i="4"/>
  <c r="G16" i="4"/>
  <c r="F16" i="4"/>
  <c r="E16" i="4"/>
  <c r="I15" i="4"/>
  <c r="H15" i="4"/>
  <c r="G15" i="4"/>
  <c r="F15" i="4"/>
  <c r="E15" i="4"/>
  <c r="I14" i="4"/>
  <c r="H14" i="4"/>
  <c r="G14" i="4"/>
  <c r="F14" i="4"/>
  <c r="E14" i="4"/>
  <c r="I13" i="4"/>
  <c r="H13" i="4"/>
  <c r="G13" i="4"/>
  <c r="F13" i="4"/>
  <c r="E13" i="4"/>
  <c r="I12" i="4"/>
  <c r="H12" i="4"/>
  <c r="G12" i="4"/>
  <c r="F12" i="4"/>
  <c r="E12" i="4"/>
  <c r="I11" i="4"/>
  <c r="H11" i="4"/>
  <c r="G11" i="4"/>
  <c r="F11" i="4"/>
  <c r="E11" i="4"/>
  <c r="R24" i="3"/>
  <c r="R23" i="3"/>
  <c r="Q24" i="3" s="1"/>
  <c r="Q23" i="3"/>
  <c r="M23" i="3"/>
  <c r="K8" i="3" s="1"/>
  <c r="D12" i="3"/>
  <c r="U22" i="3" s="1"/>
  <c r="C12" i="3"/>
  <c r="J11" i="3"/>
  <c r="I11" i="3"/>
  <c r="H11" i="3"/>
  <c r="G11" i="3"/>
  <c r="F11" i="3"/>
  <c r="E11" i="3"/>
  <c r="J10" i="3"/>
  <c r="H10" i="3"/>
  <c r="G10" i="3"/>
  <c r="F10" i="3"/>
  <c r="F12" i="3" s="1"/>
  <c r="E10" i="3"/>
  <c r="I10" i="3" s="1"/>
  <c r="H9" i="3"/>
  <c r="G9" i="3"/>
  <c r="F9" i="3"/>
  <c r="E9" i="3"/>
  <c r="I9" i="3" s="1"/>
  <c r="H8" i="3"/>
  <c r="G8" i="3"/>
  <c r="F8" i="3"/>
  <c r="E8" i="3"/>
  <c r="J8" i="3" s="1"/>
  <c r="H7" i="3"/>
  <c r="G7" i="3"/>
  <c r="F7" i="3"/>
  <c r="E7" i="3"/>
  <c r="J7" i="3" s="1"/>
  <c r="J6" i="3"/>
  <c r="J12" i="3" s="1"/>
  <c r="H6" i="3"/>
  <c r="G6" i="3"/>
  <c r="F6" i="3"/>
  <c r="E6" i="3"/>
  <c r="H12" i="3" l="1"/>
  <c r="U23" i="3" s="1"/>
  <c r="E12" i="3"/>
  <c r="G12" i="3"/>
  <c r="S26" i="3" a="1"/>
  <c r="U27" i="3" s="1"/>
  <c r="N15" i="3"/>
  <c r="P4" i="3"/>
  <c r="K6" i="3"/>
  <c r="K7" i="3"/>
  <c r="I8" i="3"/>
  <c r="J9" i="3"/>
  <c r="K10" i="3"/>
  <c r="K11" i="3"/>
  <c r="I7" i="3"/>
  <c r="K9" i="3"/>
  <c r="I6" i="3"/>
  <c r="S28" i="3" l="1"/>
  <c r="S26" i="3"/>
  <c r="U28" i="3"/>
  <c r="T26" i="3"/>
  <c r="U26" i="3"/>
  <c r="T28" i="3"/>
  <c r="S27" i="3"/>
  <c r="T27" i="3"/>
  <c r="R30" i="3" a="1"/>
  <c r="I12" i="3"/>
  <c r="U24" i="3" s="1"/>
  <c r="K12" i="3"/>
  <c r="M25" i="3" s="1"/>
  <c r="M29" i="3" s="1"/>
  <c r="R32" i="3" l="1"/>
  <c r="R31" i="3"/>
  <c r="R30" i="3"/>
  <c r="S43" i="3" s="1"/>
</calcChain>
</file>

<file path=xl/sharedStrings.xml><?xml version="1.0" encoding="utf-8"?>
<sst xmlns="http://schemas.openxmlformats.org/spreadsheetml/2006/main" count="130" uniqueCount="85">
  <si>
    <t>AJUSTE DE CURVAS</t>
  </si>
  <si>
    <t xml:space="preserve">regresion polinomial </t>
  </si>
  <si>
    <t>(a0+a1Xi+a2xi^2-yi)^2</t>
  </si>
  <si>
    <t xml:space="preserve">eso clacilamos primero </t>
  </si>
  <si>
    <t>Q</t>
  </si>
  <si>
    <t>i</t>
  </si>
  <si>
    <t>xi</t>
  </si>
  <si>
    <t>yi</t>
  </si>
  <si>
    <t>xi^2</t>
  </si>
  <si>
    <t>xi^3</t>
  </si>
  <si>
    <t>xi^4</t>
  </si>
  <si>
    <t>xi*yi</t>
  </si>
  <si>
    <t>xi^2*yi</t>
  </si>
  <si>
    <t>p2(Xi)-yi</t>
  </si>
  <si>
    <t>(yi- y)^2</t>
  </si>
  <si>
    <t>calculamos Q</t>
  </si>
  <si>
    <t>suma</t>
  </si>
  <si>
    <t>m=</t>
  </si>
  <si>
    <t>polinomial</t>
  </si>
  <si>
    <t>n+1=</t>
  </si>
  <si>
    <t>nodos</t>
  </si>
  <si>
    <t>(cantidad de notaciones)</t>
  </si>
  <si>
    <t>a</t>
  </si>
  <si>
    <t>b</t>
  </si>
  <si>
    <t>media y</t>
  </si>
  <si>
    <t>r^2</t>
  </si>
  <si>
    <t>inv(A)</t>
  </si>
  <si>
    <t>interpretacion: el polinomio explica es 99.85% de variabilidad de y en funcion</t>
  </si>
  <si>
    <t>r</t>
  </si>
  <si>
    <t>a=</t>
  </si>
  <si>
    <t>a0</t>
  </si>
  <si>
    <t xml:space="preserve">interpretacion:La relacion entre las variables X e Y </t>
  </si>
  <si>
    <t>a1</t>
  </si>
  <si>
    <t xml:space="preserve">ES DIRECTA Y ALTA </t>
  </si>
  <si>
    <t>a2</t>
  </si>
  <si>
    <t>me pide :</t>
  </si>
  <si>
    <t>P2(x)=a0+a1x+a2x^2</t>
  </si>
  <si>
    <t>un polinomio de grado 2</t>
  </si>
  <si>
    <t xml:space="preserve">aproximar del grado </t>
  </si>
  <si>
    <t>calcula cundo</t>
  </si>
  <si>
    <t>ejemplo:</t>
  </si>
  <si>
    <t>si</t>
  </si>
  <si>
    <t>x=</t>
  </si>
  <si>
    <t>y=</t>
  </si>
  <si>
    <t>??</t>
  </si>
  <si>
    <t>p2(7)=</t>
  </si>
  <si>
    <t>Ejemplo</t>
  </si>
  <si>
    <t>C a = b</t>
  </si>
  <si>
    <t>P2(x) = a0 + a1 x + a2 x^2</t>
  </si>
  <si>
    <t>C</t>
  </si>
  <si>
    <t>n+1</t>
  </si>
  <si>
    <t>sum xi</t>
  </si>
  <si>
    <t>sum xi^2</t>
  </si>
  <si>
    <t>sum xi^3</t>
  </si>
  <si>
    <t>sum xi^4</t>
  </si>
  <si>
    <t>sum yi</t>
  </si>
  <si>
    <t>sum xi yi</t>
  </si>
  <si>
    <t>sum xi^2 yi</t>
  </si>
  <si>
    <t>c</t>
  </si>
  <si>
    <t>a=inv(c)*b</t>
  </si>
  <si>
    <t>P2(x)=</t>
  </si>
  <si>
    <t>a0+a1x+a2x^2</t>
  </si>
  <si>
    <t>Conclusión:</t>
  </si>
  <si>
    <t>a0=2.4786 , a1=2.3593 , a2=1.8607</t>
  </si>
  <si>
    <t>Evidencias Octave (Ventana de comandos)</t>
  </si>
  <si>
    <t>b , a=inv(c)*b</t>
  </si>
  <si>
    <t>Regresión multiple</t>
  </si>
  <si>
    <t>x1i</t>
  </si>
  <si>
    <t>x2i</t>
  </si>
  <si>
    <t>x1i^2</t>
  </si>
  <si>
    <t>x1i*x2i</t>
  </si>
  <si>
    <t>x2i^2</t>
  </si>
  <si>
    <t>x1i*yi</t>
  </si>
  <si>
    <t>x2i*yi</t>
  </si>
  <si>
    <t>Objetivo:</t>
  </si>
  <si>
    <t>y=a0+a1*x1+a2*x2</t>
  </si>
  <si>
    <t>inv(C)</t>
  </si>
  <si>
    <t>(yi-ybar)^2</t>
  </si>
  <si>
    <t>Calcular</t>
  </si>
  <si>
    <t>Q y R^2</t>
  </si>
  <si>
    <t>Q=</t>
  </si>
  <si>
    <t>(a0+a1*x1+a2*x2-yi)^2</t>
  </si>
  <si>
    <t>(P(x)-yi)^2</t>
  </si>
  <si>
    <t>Interpretación: El modelo encontrado representa el 100% de la variabilidad de Y en función de x1 y x2.</t>
  </si>
  <si>
    <t>P(x)=a0+a1*x1+a2*x2.  Q=suma (P(x)-yi)^2 = 1.48306E-28 (casi 0).  r^2=1.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</si>
</sst>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E+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6" borderId="1" xfId="0" applyFill="1" applyBorder="1"/>
    <xf numFmtId="0" fontId="0" fillId="7" borderId="1" xfId="0" applyFill="1" applyBorder="1"/>
    <xf numFmtId="0" fontId="0" fillId="5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4" fillId="0" borderId="0" xfId="0" applyFont="1"/>
    <xf numFmtId="164" fontId="1" fillId="5" borderId="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3</xdr:row>
      <xdr:rowOff>30480</xdr:rowOff>
    </xdr:from>
    <xdr:to>
      <xdr:col>6</xdr:col>
      <xdr:colOff>731926</xdr:colOff>
      <xdr:row>23</xdr:row>
      <xdr:rowOff>114624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539DB4-B403-59E9-CE1F-44086E51B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579120"/>
          <a:ext cx="4686706" cy="3741744"/>
        </a:xfrm>
        <a:prstGeom prst="rect">
          <a:avLst/>
        </a:prstGeom>
      </xdr:spPr>
    </xdr:pic>
    <xdr:clientData/>
  </xdr:twoCellAnchor>
  <xdr:twoCellAnchor editAs="oneCell">
    <xdr:from>
      <xdr:col>0</xdr:col>
      <xdr:colOff>784012</xdr:colOff>
      <xdr:row>28</xdr:row>
      <xdr:rowOff>136878</xdr:rowOff>
    </xdr:from>
    <xdr:to>
      <xdr:col>7</xdr:col>
      <xdr:colOff>588614</xdr:colOff>
      <xdr:row>56</xdr:row>
      <xdr:rowOff>60550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36ABCB-FD9F-DD54-3A30-1E0571AC5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012" y="5273322"/>
          <a:ext cx="5336158" cy="5060117"/>
        </a:xfrm>
        <a:prstGeom prst="rect">
          <a:avLst/>
        </a:prstGeom>
      </xdr:spPr>
    </xdr:pic>
    <xdr:clientData/>
  </xdr:twoCellAnchor>
  <xdr:twoCellAnchor editAs="oneCell">
    <xdr:from>
      <xdr:col>1</xdr:col>
      <xdr:colOff>14112</xdr:colOff>
      <xdr:row>56</xdr:row>
      <xdr:rowOff>84667</xdr:rowOff>
    </xdr:from>
    <xdr:to>
      <xdr:col>7</xdr:col>
      <xdr:colOff>544701</xdr:colOff>
      <xdr:row>84</xdr:row>
      <xdr:rowOff>70391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93C07F-4502-B473-8FD0-D154FB09F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334" y="10357556"/>
          <a:ext cx="5271923" cy="512216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776110</xdr:colOff>
      <xdr:row>23</xdr:row>
      <xdr:rowOff>155221</xdr:rowOff>
    </xdr:from>
    <xdr:to>
      <xdr:col>5</xdr:col>
      <xdr:colOff>586422</xdr:colOff>
      <xdr:row>27</xdr:row>
      <xdr:rowOff>84666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AF8E054-603B-674D-73A7-8E772323C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6110" y="4374443"/>
          <a:ext cx="3761423" cy="663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89742</xdr:colOff>
      <xdr:row>2</xdr:row>
      <xdr:rowOff>66675</xdr:rowOff>
    </xdr:from>
    <xdr:to>
      <xdr:col>14</xdr:col>
      <xdr:colOff>551294</xdr:colOff>
      <xdr:row>5</xdr:row>
      <xdr:rowOff>142597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1281C8-DE07-41FB-B59F-1233BC04B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7022" y="249555"/>
          <a:ext cx="2046512" cy="624562"/>
        </a:xfrm>
        <a:prstGeom prst="rect">
          <a:avLst/>
        </a:prstGeom>
      </xdr:spPr>
    </xdr:pic>
    <xdr:clientData/>
  </xdr:twoCellAnchor>
  <xdr:twoCellAnchor editAs="oneCell">
    <xdr:from>
      <xdr:col>11</xdr:col>
      <xdr:colOff>318083</xdr:colOff>
      <xdr:row>9</xdr:row>
      <xdr:rowOff>10649</xdr:rowOff>
    </xdr:from>
    <xdr:to>
      <xdr:col>14</xdr:col>
      <xdr:colOff>676275</xdr:colOff>
      <xdr:row>13</xdr:row>
      <xdr:rowOff>26234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BE01C-716B-413D-96FE-1FF4C74B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2883" y="1473689"/>
          <a:ext cx="2735632" cy="747105"/>
        </a:xfrm>
        <a:prstGeom prst="rect">
          <a:avLst/>
        </a:prstGeom>
      </xdr:spPr>
    </xdr:pic>
    <xdr:clientData/>
  </xdr:twoCellAnchor>
  <xdr:twoCellAnchor editAs="oneCell">
    <xdr:from>
      <xdr:col>11</xdr:col>
      <xdr:colOff>644664</xdr:colOff>
      <xdr:row>16</xdr:row>
      <xdr:rowOff>74818</xdr:rowOff>
    </xdr:from>
    <xdr:to>
      <xdr:col>15</xdr:col>
      <xdr:colOff>19050</xdr:colOff>
      <xdr:row>20</xdr:row>
      <xdr:rowOff>107813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2B4586-E0CF-4C9C-B24F-69A1AE63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69464" y="2818018"/>
          <a:ext cx="2544306" cy="764515"/>
        </a:xfrm>
        <a:prstGeom prst="rect">
          <a:avLst/>
        </a:prstGeom>
      </xdr:spPr>
    </xdr:pic>
    <xdr:clientData/>
  </xdr:twoCellAnchor>
  <xdr:twoCellAnchor editAs="oneCell">
    <xdr:from>
      <xdr:col>16</xdr:col>
      <xdr:colOff>54812</xdr:colOff>
      <xdr:row>3</xdr:row>
      <xdr:rowOff>120316</xdr:rowOff>
    </xdr:from>
    <xdr:to>
      <xdr:col>22</xdr:col>
      <xdr:colOff>568749</xdr:colOff>
      <xdr:row>14</xdr:row>
      <xdr:rowOff>77172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55E7F7A-3008-4C63-B2B5-3F6D109A5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2012" y="486076"/>
          <a:ext cx="5268817" cy="1968536"/>
        </a:xfrm>
        <a:prstGeom prst="rect">
          <a:avLst/>
        </a:prstGeom>
      </xdr:spPr>
    </xdr:pic>
    <xdr:clientData/>
  </xdr:twoCellAnchor>
  <xdr:twoCellAnchor editAs="oneCell">
    <xdr:from>
      <xdr:col>17</xdr:col>
      <xdr:colOff>555257</xdr:colOff>
      <xdr:row>16</xdr:row>
      <xdr:rowOff>60928</xdr:rowOff>
    </xdr:from>
    <xdr:to>
      <xdr:col>20</xdr:col>
      <xdr:colOff>344859</xdr:colOff>
      <xdr:row>20</xdr:row>
      <xdr:rowOff>15266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9ED6848-7FF2-45AF-A059-08E97B6C8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34937" y="2804128"/>
          <a:ext cx="2167042" cy="685858"/>
        </a:xfrm>
        <a:prstGeom prst="rect">
          <a:avLst/>
        </a:prstGeom>
      </xdr:spPr>
    </xdr:pic>
    <xdr:clientData/>
  </xdr:twoCellAnchor>
  <xdr:oneCellAnchor>
    <xdr:from>
      <xdr:col>11</xdr:col>
      <xdr:colOff>464950</xdr:colOff>
      <xdr:row>22</xdr:row>
      <xdr:rowOff>5810</xdr:rowOff>
    </xdr:from>
    <xdr:ext cx="18908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2A8B2DD-33DC-4D7A-BE2A-4AF349B37FA7}"/>
                </a:ext>
              </a:extLst>
            </xdr:cNvPr>
            <xdr:cNvSpPr txBox="1"/>
          </xdr:nvSpPr>
          <xdr:spPr>
            <a:xfrm>
              <a:off x="8389750" y="3846290"/>
              <a:ext cx="1890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2A8B2DD-33DC-4D7A-BE2A-4AF349B37FA7}"/>
                </a:ext>
              </a:extLst>
            </xdr:cNvPr>
            <xdr:cNvSpPr txBox="1"/>
          </xdr:nvSpPr>
          <xdr:spPr>
            <a:xfrm>
              <a:off x="8389750" y="3846290"/>
              <a:ext cx="18908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𝑦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10</xdr:col>
      <xdr:colOff>204926</xdr:colOff>
      <xdr:row>4</xdr:row>
      <xdr:rowOff>19974</xdr:rowOff>
    </xdr:from>
    <xdr:ext cx="1077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901DC46-9844-48EA-8F76-10E050C0E4F6}"/>
                </a:ext>
              </a:extLst>
            </xdr:cNvPr>
            <xdr:cNvSpPr txBox="1"/>
          </xdr:nvSpPr>
          <xdr:spPr>
            <a:xfrm>
              <a:off x="7337246" y="568614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901DC46-9844-48EA-8F76-10E050C0E4F6}"/>
                </a:ext>
              </a:extLst>
            </xdr:cNvPr>
            <xdr:cNvSpPr txBox="1"/>
          </xdr:nvSpPr>
          <xdr:spPr>
            <a:xfrm>
              <a:off x="7337246" y="568614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𝑦</a:t>
              </a:r>
              <a:r>
                <a:rPr lang="es-MX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s-MX" sz="1100"/>
            </a:p>
          </xdr:txBody>
        </xdr:sp>
      </mc:Fallback>
    </mc:AlternateContent>
    <xdr:clientData/>
  </xdr:oneCellAnchor>
  <xdr:twoCellAnchor editAs="oneCell">
    <xdr:from>
      <xdr:col>2</xdr:col>
      <xdr:colOff>176122</xdr:colOff>
      <xdr:row>36</xdr:row>
      <xdr:rowOff>155494</xdr:rowOff>
    </xdr:from>
    <xdr:to>
      <xdr:col>9</xdr:col>
      <xdr:colOff>461246</xdr:colOff>
      <xdr:row>86</xdr:row>
      <xdr:rowOff>35227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CF3A1E2-06AE-430C-932D-CDFAAEAF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7747" y="7013494"/>
          <a:ext cx="5785812" cy="9404733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51</xdr:row>
      <xdr:rowOff>71437</xdr:rowOff>
    </xdr:from>
    <xdr:to>
      <xdr:col>17</xdr:col>
      <xdr:colOff>378067</xdr:colOff>
      <xdr:row>71</xdr:row>
      <xdr:rowOff>24414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2ACF4A9-3400-4BD2-9D32-701017A6E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3375" y="9786937"/>
          <a:ext cx="5783505" cy="3762977"/>
        </a:xfrm>
        <a:prstGeom prst="rect">
          <a:avLst/>
        </a:prstGeom>
      </xdr:spPr>
    </xdr:pic>
    <xdr:clientData/>
  </xdr:twoCellAnchor>
  <xdr:twoCellAnchor editAs="oneCell">
    <xdr:from>
      <xdr:col>19</xdr:col>
      <xdr:colOff>619124</xdr:colOff>
      <xdr:row>52</xdr:row>
      <xdr:rowOff>71438</xdr:rowOff>
    </xdr:from>
    <xdr:to>
      <xdr:col>26</xdr:col>
      <xdr:colOff>491597</xdr:colOff>
      <xdr:row>79</xdr:row>
      <xdr:rowOff>151329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2522C33-BC11-4820-855A-391C6B79B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49562" y="9977438"/>
          <a:ext cx="5373160" cy="5223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65088</xdr:colOff>
      <xdr:row>34</xdr:row>
      <xdr:rowOff>1836455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4AFD0-6796-4DF2-9189-F3AFB6D95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6610350"/>
          <a:ext cx="7366000" cy="1836455"/>
        </a:xfrm>
        <a:prstGeom prst="rect">
          <a:avLst/>
        </a:prstGeom>
      </xdr:spPr>
    </xdr:pic>
    <xdr:clientData/>
  </xdr:twoCellAnchor>
  <xdr:twoCellAnchor editAs="oneCell">
    <xdr:from>
      <xdr:col>0</xdr:col>
      <xdr:colOff>738188</xdr:colOff>
      <xdr:row>36</xdr:row>
      <xdr:rowOff>47625</xdr:rowOff>
    </xdr:from>
    <xdr:to>
      <xdr:col>7</xdr:col>
      <xdr:colOff>835025</xdr:colOff>
      <xdr:row>46</xdr:row>
      <xdr:rowOff>1443146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D5A130-D664-7CFE-5424-83D10D9A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8" y="8867775"/>
          <a:ext cx="7112000" cy="32052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361950</xdr:colOff>
      <xdr:row>5</xdr:row>
      <xdr:rowOff>24001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F76133-87E3-F401-6BAC-160F136F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80975"/>
          <a:ext cx="5334000" cy="102412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19</xdr:col>
      <xdr:colOff>22225</xdr:colOff>
      <xdr:row>21</xdr:row>
      <xdr:rowOff>52325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9B1E3E-58D4-D555-25CD-7EA37611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7075" y="3257550"/>
          <a:ext cx="3556000" cy="2103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B48A-C822-4A4D-9EE1-C7EA49374390}">
  <dimension ref="B2"/>
  <sheetViews>
    <sheetView topLeftCell="A52" zoomScale="54" workbookViewId="0">
      <selection activeCell="K46" sqref="K46"/>
    </sheetView>
  </sheetViews>
  <sheetFormatPr defaultColWidth="10.6640625" defaultRowHeight="14.25" x14ac:dyDescent="0.45"/>
  <sheetData>
    <row r="2" spans="2:2" x14ac:dyDescent="0.45">
      <c r="B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E923-6522-4300-9474-4E68CA9DF4BB}">
  <dimension ref="B2:V43"/>
  <sheetViews>
    <sheetView topLeftCell="D1" zoomScale="32" workbookViewId="0">
      <selection activeCell="AE30" sqref="AE30"/>
    </sheetView>
  </sheetViews>
  <sheetFormatPr defaultColWidth="10.6640625" defaultRowHeight="14.25" x14ac:dyDescent="0.45"/>
  <sheetData>
    <row r="2" spans="2:22" x14ac:dyDescent="0.45">
      <c r="B2" t="s">
        <v>1</v>
      </c>
    </row>
    <row r="3" spans="2:22" x14ac:dyDescent="0.45">
      <c r="J3" t="s">
        <v>2</v>
      </c>
      <c r="T3" t="s">
        <v>3</v>
      </c>
    </row>
    <row r="4" spans="2:22" x14ac:dyDescent="0.45">
      <c r="J4" t="s">
        <v>4</v>
      </c>
      <c r="P4" t="e">
        <f>SQRT(J12/(C16-(C15+1)))</f>
        <v>#VALUE!</v>
      </c>
    </row>
    <row r="5" spans="2:22" x14ac:dyDescent="0.45">
      <c r="B5" s="1" t="s">
        <v>5</v>
      </c>
      <c r="C5" s="1" t="s">
        <v>6</v>
      </c>
      <c r="D5" s="1" t="s">
        <v>7</v>
      </c>
      <c r="E5" s="2" t="s">
        <v>8</v>
      </c>
      <c r="F5" s="3" t="s">
        <v>9</v>
      </c>
      <c r="G5" s="12" t="s">
        <v>10</v>
      </c>
      <c r="H5" s="4" t="s">
        <v>11</v>
      </c>
      <c r="I5" s="13" t="s">
        <v>12</v>
      </c>
      <c r="J5" s="1" t="s">
        <v>13</v>
      </c>
      <c r="K5" s="1" t="s">
        <v>14</v>
      </c>
    </row>
    <row r="6" spans="2:22" x14ac:dyDescent="0.45">
      <c r="B6" s="1">
        <v>1</v>
      </c>
      <c r="C6" s="1">
        <v>0</v>
      </c>
      <c r="D6" s="1">
        <v>2.1</v>
      </c>
      <c r="E6" s="2">
        <f>C6^2</f>
        <v>0</v>
      </c>
      <c r="F6" s="3">
        <f>C6^3</f>
        <v>0</v>
      </c>
      <c r="G6" s="12">
        <f>C6^4</f>
        <v>0</v>
      </c>
      <c r="H6" s="4">
        <f>C6*D6</f>
        <v>0</v>
      </c>
      <c r="I6" s="13">
        <f>E6*D6</f>
        <v>0</v>
      </c>
      <c r="J6" s="1" t="e">
        <f>($Q$29+$Q$30*C6+$Q$31*E6-D6)^2</f>
        <v>#VALUE!</v>
      </c>
      <c r="K6" s="1">
        <f>(D6-M23)^2</f>
        <v>544.44444444444434</v>
      </c>
    </row>
    <row r="7" spans="2:22" x14ac:dyDescent="0.45">
      <c r="B7" s="1">
        <v>2</v>
      </c>
      <c r="C7" s="1">
        <v>1</v>
      </c>
      <c r="D7" s="1">
        <v>7.7</v>
      </c>
      <c r="E7" s="2">
        <f t="shared" ref="E7:E11" si="0">C7^2</f>
        <v>1</v>
      </c>
      <c r="F7" s="3">
        <f t="shared" ref="F7:F11" si="1">C7^3</f>
        <v>1</v>
      </c>
      <c r="G7" s="12">
        <f t="shared" ref="G7:G11" si="2">C7^4</f>
        <v>1</v>
      </c>
      <c r="H7" s="4">
        <f t="shared" ref="H7:H11" si="3">C7*D7</f>
        <v>7.7</v>
      </c>
      <c r="I7" s="13">
        <f t="shared" ref="I7:I11" si="4">E7*D7</f>
        <v>7.7</v>
      </c>
      <c r="J7" s="1" t="e">
        <f t="shared" ref="J7:J11" si="5">($Q$29+$Q$30*C7+$Q$31*E7-D7)^2</f>
        <v>#VALUE!</v>
      </c>
      <c r="K7" s="1">
        <f>(D7-M23)^2</f>
        <v>314.47111111111116</v>
      </c>
    </row>
    <row r="8" spans="2:22" x14ac:dyDescent="0.45">
      <c r="B8" s="1">
        <v>3</v>
      </c>
      <c r="C8" s="1">
        <v>2</v>
      </c>
      <c r="D8" s="1">
        <v>13.6</v>
      </c>
      <c r="E8" s="2">
        <f t="shared" si="0"/>
        <v>4</v>
      </c>
      <c r="F8" s="3">
        <f t="shared" si="1"/>
        <v>8</v>
      </c>
      <c r="G8" s="12">
        <f t="shared" si="2"/>
        <v>16</v>
      </c>
      <c r="H8" s="4">
        <f t="shared" si="3"/>
        <v>27.2</v>
      </c>
      <c r="I8" s="13">
        <f t="shared" si="4"/>
        <v>54.4</v>
      </c>
      <c r="J8" s="1" t="e">
        <f t="shared" si="5"/>
        <v>#VALUE!</v>
      </c>
      <c r="K8" s="1">
        <f>(D8-M23)^2</f>
        <v>140.0277777777778</v>
      </c>
    </row>
    <row r="9" spans="2:22" x14ac:dyDescent="0.45">
      <c r="B9" s="1">
        <v>4</v>
      </c>
      <c r="C9" s="1">
        <v>3</v>
      </c>
      <c r="D9" s="1">
        <v>27.2</v>
      </c>
      <c r="E9" s="2">
        <f t="shared" si="0"/>
        <v>9</v>
      </c>
      <c r="F9" s="3">
        <f t="shared" si="1"/>
        <v>27</v>
      </c>
      <c r="G9" s="12">
        <f t="shared" si="2"/>
        <v>81</v>
      </c>
      <c r="H9" s="4">
        <f t="shared" si="3"/>
        <v>81.599999999999994</v>
      </c>
      <c r="I9" s="13">
        <f t="shared" si="4"/>
        <v>244.79999999999998</v>
      </c>
      <c r="J9" s="1" t="e">
        <f t="shared" si="5"/>
        <v>#VALUE!</v>
      </c>
      <c r="K9" s="1">
        <f>(D9-M23)^2</f>
        <v>3.1211111111111078</v>
      </c>
      <c r="N9" t="s">
        <v>15</v>
      </c>
    </row>
    <row r="10" spans="2:22" x14ac:dyDescent="0.45">
      <c r="B10" s="1">
        <v>5</v>
      </c>
      <c r="C10" s="1">
        <v>4</v>
      </c>
      <c r="D10" s="1">
        <v>40.9</v>
      </c>
      <c r="E10" s="2">
        <f t="shared" si="0"/>
        <v>16</v>
      </c>
      <c r="F10" s="3">
        <f t="shared" si="1"/>
        <v>64</v>
      </c>
      <c r="G10" s="12">
        <f t="shared" si="2"/>
        <v>256</v>
      </c>
      <c r="H10" s="4">
        <f t="shared" si="3"/>
        <v>163.6</v>
      </c>
      <c r="I10" s="13">
        <f t="shared" si="4"/>
        <v>654.4</v>
      </c>
      <c r="J10" s="1" t="e">
        <f t="shared" si="5"/>
        <v>#VALUE!</v>
      </c>
      <c r="K10" s="1">
        <f>(D10-M23)^2</f>
        <v>239.21777777777771</v>
      </c>
    </row>
    <row r="11" spans="2:22" x14ac:dyDescent="0.45">
      <c r="B11" s="1">
        <v>6</v>
      </c>
      <c r="C11" s="1">
        <v>5</v>
      </c>
      <c r="D11" s="1">
        <v>61.1</v>
      </c>
      <c r="E11" s="2">
        <f t="shared" si="0"/>
        <v>25</v>
      </c>
      <c r="F11" s="3">
        <f t="shared" si="1"/>
        <v>125</v>
      </c>
      <c r="G11" s="12">
        <f t="shared" si="2"/>
        <v>625</v>
      </c>
      <c r="H11" s="4">
        <f t="shared" si="3"/>
        <v>305.5</v>
      </c>
      <c r="I11" s="13">
        <f t="shared" si="4"/>
        <v>1527.5</v>
      </c>
      <c r="J11" s="1" t="e">
        <f t="shared" si="5"/>
        <v>#VALUE!</v>
      </c>
      <c r="K11" s="1">
        <f>(D11-M23)^2</f>
        <v>1272.1111111111115</v>
      </c>
    </row>
    <row r="12" spans="2:22" x14ac:dyDescent="0.45">
      <c r="B12" s="1" t="s">
        <v>16</v>
      </c>
      <c r="C12" s="1">
        <f t="shared" ref="C12:K12" si="6">SUM(C6:C11)</f>
        <v>15</v>
      </c>
      <c r="D12" s="1">
        <f t="shared" si="6"/>
        <v>152.6</v>
      </c>
      <c r="E12" s="2">
        <f t="shared" si="6"/>
        <v>55</v>
      </c>
      <c r="F12" s="3">
        <f t="shared" si="6"/>
        <v>225</v>
      </c>
      <c r="G12" s="12">
        <f t="shared" si="6"/>
        <v>979</v>
      </c>
      <c r="H12" s="4">
        <f t="shared" si="6"/>
        <v>585.6</v>
      </c>
      <c r="I12" s="13">
        <f t="shared" si="6"/>
        <v>2488.8000000000002</v>
      </c>
      <c r="J12" s="5" t="e">
        <f t="shared" si="6"/>
        <v>#VALUE!</v>
      </c>
      <c r="K12" s="5">
        <f t="shared" si="6"/>
        <v>2513.3933333333334</v>
      </c>
    </row>
    <row r="15" spans="2:22" x14ac:dyDescent="0.45">
      <c r="B15" t="s">
        <v>17</v>
      </c>
      <c r="C15">
        <v>2</v>
      </c>
      <c r="D15" t="s">
        <v>18</v>
      </c>
      <c r="N15" t="e">
        <f>J12</f>
        <v>#VALUE!</v>
      </c>
    </row>
    <row r="16" spans="2:22" x14ac:dyDescent="0.45">
      <c r="B16" t="s">
        <v>19</v>
      </c>
      <c r="C16">
        <v>6</v>
      </c>
      <c r="D16" t="s">
        <v>20</v>
      </c>
      <c r="E16" t="s">
        <v>21</v>
      </c>
      <c r="R16" t="s">
        <v>22</v>
      </c>
      <c r="V16" t="s">
        <v>23</v>
      </c>
    </row>
    <row r="22" spans="11:21" x14ac:dyDescent="0.45">
      <c r="Q22" s="1">
        <v>6</v>
      </c>
      <c r="R22" s="1">
        <v>15</v>
      </c>
      <c r="S22" s="1">
        <v>55</v>
      </c>
      <c r="U22" s="1">
        <f>D12</f>
        <v>152.6</v>
      </c>
    </row>
    <row r="23" spans="11:21" x14ac:dyDescent="0.45">
      <c r="K23" t="s">
        <v>24</v>
      </c>
      <c r="M23" s="14">
        <f>AVERAGE(D6:D11)</f>
        <v>25.433333333333334</v>
      </c>
      <c r="Q23" s="1">
        <f>R22</f>
        <v>15</v>
      </c>
      <c r="R23" s="1">
        <f>S22</f>
        <v>55</v>
      </c>
      <c r="S23" s="1">
        <v>225</v>
      </c>
      <c r="U23" s="1">
        <f>H12</f>
        <v>585.6</v>
      </c>
    </row>
    <row r="24" spans="11:21" x14ac:dyDescent="0.45">
      <c r="Q24" s="1">
        <f>R23</f>
        <v>55</v>
      </c>
      <c r="R24" s="1">
        <f>S23</f>
        <v>225</v>
      </c>
      <c r="S24" s="1">
        <v>979</v>
      </c>
      <c r="U24" s="1">
        <f>I12</f>
        <v>2488.8000000000002</v>
      </c>
    </row>
    <row r="25" spans="11:21" x14ac:dyDescent="0.45">
      <c r="L25" t="s">
        <v>25</v>
      </c>
      <c r="M25" t="e">
        <f>(K12-J12)/K12</f>
        <v>#VALUE!</v>
      </c>
    </row>
    <row r="26" spans="11:21" x14ac:dyDescent="0.45">
      <c r="R26" t="s">
        <v>26</v>
      </c>
      <c r="S26">
        <f t="array" ref="S26:U28">MINVERSE(Q22:S24)</f>
        <v>0.82142857142857073</v>
      </c>
      <c r="T26">
        <v>-0.58928571428571364</v>
      </c>
      <c r="U26">
        <v>8.9285714285714135E-2</v>
      </c>
    </row>
    <row r="27" spans="11:21" x14ac:dyDescent="0.45">
      <c r="K27" s="36" t="s">
        <v>27</v>
      </c>
      <c r="L27" s="37"/>
      <c r="M27" s="37"/>
      <c r="N27" s="37"/>
      <c r="O27" s="37"/>
      <c r="P27" s="38"/>
      <c r="S27">
        <v>-0.58928571428571308</v>
      </c>
      <c r="T27">
        <v>0.72678571428571292</v>
      </c>
      <c r="U27">
        <v>-0.13392857142857115</v>
      </c>
    </row>
    <row r="28" spans="11:21" x14ac:dyDescent="0.45">
      <c r="S28">
        <v>8.9285714285714052E-2</v>
      </c>
      <c r="T28">
        <v>-0.13392857142857115</v>
      </c>
      <c r="U28">
        <v>2.6785714285714229E-2</v>
      </c>
    </row>
    <row r="29" spans="11:21" x14ac:dyDescent="0.45">
      <c r="L29" t="s">
        <v>28</v>
      </c>
      <c r="M29" t="e">
        <f>M25</f>
        <v>#VALUE!</v>
      </c>
    </row>
    <row r="30" spans="11:21" ht="14.65" thickBot="1" x14ac:dyDescent="0.5">
      <c r="Q30" t="s">
        <v>29</v>
      </c>
      <c r="R30" s="1">
        <f t="array" ref="R30:R32">MMULT(S26:U28,U22:U24)</f>
        <v>2.4785714285713709</v>
      </c>
      <c r="S30" t="s">
        <v>30</v>
      </c>
    </row>
    <row r="31" spans="11:21" x14ac:dyDescent="0.45">
      <c r="K31" s="6" t="s">
        <v>31</v>
      </c>
      <c r="L31" s="7"/>
      <c r="M31" s="7"/>
      <c r="N31" s="8"/>
      <c r="R31" s="1">
        <v>2.3592857142858747</v>
      </c>
      <c r="S31" t="s">
        <v>32</v>
      </c>
    </row>
    <row r="32" spans="11:21" ht="14.65" thickBot="1" x14ac:dyDescent="0.5">
      <c r="K32" s="9" t="s">
        <v>33</v>
      </c>
      <c r="L32" s="10"/>
      <c r="M32" s="10"/>
      <c r="N32" s="11"/>
      <c r="R32" s="1">
        <v>1.8607142857142804</v>
      </c>
      <c r="S32" t="s">
        <v>34</v>
      </c>
    </row>
    <row r="34" spans="17:19" x14ac:dyDescent="0.45">
      <c r="Q34" t="s">
        <v>35</v>
      </c>
      <c r="R34" t="s">
        <v>36</v>
      </c>
    </row>
    <row r="35" spans="17:19" x14ac:dyDescent="0.45">
      <c r="Q35" t="s">
        <v>37</v>
      </c>
    </row>
    <row r="36" spans="17:19" x14ac:dyDescent="0.45">
      <c r="Q36" t="s">
        <v>38</v>
      </c>
    </row>
    <row r="37" spans="17:19" x14ac:dyDescent="0.45">
      <c r="Q37" t="s">
        <v>39</v>
      </c>
    </row>
    <row r="39" spans="17:19" x14ac:dyDescent="0.45">
      <c r="Q39" t="s">
        <v>40</v>
      </c>
    </row>
    <row r="40" spans="17:19" x14ac:dyDescent="0.45">
      <c r="Q40" t="s">
        <v>41</v>
      </c>
      <c r="R40" t="s">
        <v>42</v>
      </c>
      <c r="S40">
        <v>7</v>
      </c>
    </row>
    <row r="41" spans="17:19" x14ac:dyDescent="0.45">
      <c r="R41" t="s">
        <v>43</v>
      </c>
      <c r="S41" t="s">
        <v>44</v>
      </c>
    </row>
    <row r="43" spans="17:19" x14ac:dyDescent="0.45">
      <c r="R43" t="s">
        <v>45</v>
      </c>
      <c r="S43">
        <f>R30+R31*S40+R32*S40^2</f>
        <v>110.16857142857224</v>
      </c>
    </row>
  </sheetData>
  <mergeCells count="1">
    <mergeCell ref="K27:P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120C-D84F-4A35-B6C2-A092D805B03C}">
  <dimension ref="A2:I47"/>
  <sheetViews>
    <sheetView zoomScale="80" workbookViewId="0">
      <selection activeCell="B36" sqref="B36"/>
    </sheetView>
  </sheetViews>
  <sheetFormatPr defaultRowHeight="14.25" x14ac:dyDescent="0.45"/>
  <cols>
    <col min="1" max="1" width="10.59765625" style="15" customWidth="1"/>
    <col min="2" max="9" width="14.59765625" style="15" customWidth="1"/>
    <col min="10" max="10" width="4.59765625" style="15" customWidth="1"/>
    <col min="11" max="11" width="12.59765625" style="15" customWidth="1"/>
    <col min="12" max="14" width="14.59765625" style="15" customWidth="1"/>
    <col min="15" max="15" width="12.59765625" style="15" customWidth="1"/>
    <col min="16" max="16" width="14.59765625" style="15" customWidth="1"/>
    <col min="17" max="20" width="12.59765625" style="15" customWidth="1"/>
    <col min="21" max="16384" width="9.06640625" style="15"/>
  </cols>
  <sheetData>
    <row r="2" spans="1:9" ht="18" x14ac:dyDescent="0.55000000000000004">
      <c r="A2" s="15" t="s">
        <v>46</v>
      </c>
      <c r="B2" s="16" t="s">
        <v>47</v>
      </c>
    </row>
    <row r="3" spans="1:9" ht="18" x14ac:dyDescent="0.55000000000000004">
      <c r="B3" s="16" t="s">
        <v>48</v>
      </c>
    </row>
    <row r="5" spans="1:9" x14ac:dyDescent="0.45">
      <c r="A5" s="17" t="s">
        <v>49</v>
      </c>
      <c r="B5" s="18" t="s">
        <v>50</v>
      </c>
      <c r="C5" s="18" t="s">
        <v>51</v>
      </c>
      <c r="D5" s="18" t="s">
        <v>52</v>
      </c>
      <c r="F5" s="17" t="s">
        <v>22</v>
      </c>
      <c r="H5" s="17" t="s">
        <v>23</v>
      </c>
    </row>
    <row r="6" spans="1:9" x14ac:dyDescent="0.45">
      <c r="B6" s="18" t="s">
        <v>51</v>
      </c>
      <c r="C6" s="18" t="s">
        <v>52</v>
      </c>
      <c r="D6" s="18" t="s">
        <v>53</v>
      </c>
      <c r="F6" s="18" t="s">
        <v>30</v>
      </c>
      <c r="H6" s="18" t="s">
        <v>55</v>
      </c>
    </row>
    <row r="7" spans="1:9" x14ac:dyDescent="0.45">
      <c r="B7" s="18" t="s">
        <v>52</v>
      </c>
      <c r="C7" s="18" t="s">
        <v>53</v>
      </c>
      <c r="D7" s="18" t="s">
        <v>54</v>
      </c>
      <c r="F7" s="18" t="s">
        <v>32</v>
      </c>
      <c r="H7" s="18" t="s">
        <v>56</v>
      </c>
    </row>
    <row r="8" spans="1:9" x14ac:dyDescent="0.45">
      <c r="F8" s="18" t="s">
        <v>34</v>
      </c>
      <c r="H8" s="18" t="s">
        <v>57</v>
      </c>
    </row>
    <row r="10" spans="1:9" x14ac:dyDescent="0.45">
      <c r="B10" s="19" t="s">
        <v>5</v>
      </c>
      <c r="C10" s="19" t="s">
        <v>6</v>
      </c>
      <c r="D10" s="19" t="s">
        <v>7</v>
      </c>
      <c r="E10" s="19" t="s">
        <v>8</v>
      </c>
      <c r="F10" s="19" t="s">
        <v>9</v>
      </c>
      <c r="G10" s="19" t="s">
        <v>10</v>
      </c>
      <c r="H10" s="19" t="s">
        <v>11</v>
      </c>
      <c r="I10" s="19" t="s">
        <v>12</v>
      </c>
    </row>
    <row r="11" spans="1:9" x14ac:dyDescent="0.45">
      <c r="B11" s="18">
        <v>1</v>
      </c>
      <c r="C11" s="20">
        <v>0</v>
      </c>
      <c r="D11" s="20">
        <v>2.1</v>
      </c>
      <c r="E11" s="20">
        <f t="shared" ref="E11:E16" si="0">C11*C11</f>
        <v>0</v>
      </c>
      <c r="F11" s="20">
        <f t="shared" ref="F11:F16" si="1">C11*C11*C11</f>
        <v>0</v>
      </c>
      <c r="G11" s="20">
        <f t="shared" ref="G11:G16" si="2">C11*C11*C11*C11</f>
        <v>0</v>
      </c>
      <c r="H11" s="20">
        <f t="shared" ref="H11:H16" si="3">C11*D11</f>
        <v>0</v>
      </c>
      <c r="I11" s="20">
        <f t="shared" ref="I11:I16" si="4">E11*D11</f>
        <v>0</v>
      </c>
    </row>
    <row r="12" spans="1:9" x14ac:dyDescent="0.45">
      <c r="B12" s="18">
        <v>2</v>
      </c>
      <c r="C12" s="20">
        <v>1</v>
      </c>
      <c r="D12" s="20">
        <v>7.7</v>
      </c>
      <c r="E12" s="20">
        <f t="shared" si="0"/>
        <v>1</v>
      </c>
      <c r="F12" s="20">
        <f t="shared" si="1"/>
        <v>1</v>
      </c>
      <c r="G12" s="20">
        <f t="shared" si="2"/>
        <v>1</v>
      </c>
      <c r="H12" s="20">
        <f t="shared" si="3"/>
        <v>7.7</v>
      </c>
      <c r="I12" s="20">
        <f t="shared" si="4"/>
        <v>7.7</v>
      </c>
    </row>
    <row r="13" spans="1:9" x14ac:dyDescent="0.45">
      <c r="B13" s="18">
        <v>3</v>
      </c>
      <c r="C13" s="20">
        <v>2</v>
      </c>
      <c r="D13" s="20">
        <v>13.6</v>
      </c>
      <c r="E13" s="20">
        <f t="shared" si="0"/>
        <v>4</v>
      </c>
      <c r="F13" s="20">
        <f t="shared" si="1"/>
        <v>8</v>
      </c>
      <c r="G13" s="20">
        <f t="shared" si="2"/>
        <v>16</v>
      </c>
      <c r="H13" s="20">
        <f t="shared" si="3"/>
        <v>27.2</v>
      </c>
      <c r="I13" s="20">
        <f t="shared" si="4"/>
        <v>54.4</v>
      </c>
    </row>
    <row r="14" spans="1:9" x14ac:dyDescent="0.45">
      <c r="B14" s="18">
        <v>4</v>
      </c>
      <c r="C14" s="20">
        <v>3</v>
      </c>
      <c r="D14" s="20">
        <v>27.2</v>
      </c>
      <c r="E14" s="20">
        <f t="shared" si="0"/>
        <v>9</v>
      </c>
      <c r="F14" s="20">
        <f t="shared" si="1"/>
        <v>27</v>
      </c>
      <c r="G14" s="20">
        <f t="shared" si="2"/>
        <v>81</v>
      </c>
      <c r="H14" s="20">
        <f t="shared" si="3"/>
        <v>81.599999999999994</v>
      </c>
      <c r="I14" s="20">
        <f t="shared" si="4"/>
        <v>244.79999999999998</v>
      </c>
    </row>
    <row r="15" spans="1:9" x14ac:dyDescent="0.45">
      <c r="B15" s="18">
        <v>5</v>
      </c>
      <c r="C15" s="20">
        <v>4</v>
      </c>
      <c r="D15" s="20">
        <v>40.9</v>
      </c>
      <c r="E15" s="20">
        <f t="shared" si="0"/>
        <v>16</v>
      </c>
      <c r="F15" s="20">
        <f t="shared" si="1"/>
        <v>64</v>
      </c>
      <c r="G15" s="20">
        <f t="shared" si="2"/>
        <v>256</v>
      </c>
      <c r="H15" s="20">
        <f t="shared" si="3"/>
        <v>163.6</v>
      </c>
      <c r="I15" s="20">
        <f t="shared" si="4"/>
        <v>654.4</v>
      </c>
    </row>
    <row r="16" spans="1:9" x14ac:dyDescent="0.45">
      <c r="B16" s="18">
        <v>6</v>
      </c>
      <c r="C16" s="20">
        <v>5</v>
      </c>
      <c r="D16" s="20">
        <v>61.1</v>
      </c>
      <c r="E16" s="20">
        <f t="shared" si="0"/>
        <v>25</v>
      </c>
      <c r="F16" s="20">
        <f t="shared" si="1"/>
        <v>125</v>
      </c>
      <c r="G16" s="20">
        <f t="shared" si="2"/>
        <v>625</v>
      </c>
      <c r="H16" s="20">
        <f t="shared" si="3"/>
        <v>305.5</v>
      </c>
      <c r="I16" s="20">
        <f t="shared" si="4"/>
        <v>1527.5</v>
      </c>
    </row>
    <row r="17" spans="2:9" x14ac:dyDescent="0.45">
      <c r="B17" s="18" t="s">
        <v>16</v>
      </c>
      <c r="C17" s="20">
        <f t="shared" ref="C17:I17" si="5">SUM(C11:C16)</f>
        <v>15</v>
      </c>
      <c r="D17" s="20">
        <f t="shared" si="5"/>
        <v>152.6</v>
      </c>
      <c r="E17" s="20">
        <f t="shared" si="5"/>
        <v>55</v>
      </c>
      <c r="F17" s="20">
        <f t="shared" si="5"/>
        <v>225</v>
      </c>
      <c r="G17" s="20">
        <f t="shared" si="5"/>
        <v>979</v>
      </c>
      <c r="H17" s="20">
        <f t="shared" si="5"/>
        <v>585.6</v>
      </c>
      <c r="I17" s="20">
        <f t="shared" si="5"/>
        <v>2488.8000000000002</v>
      </c>
    </row>
    <row r="19" spans="2:9" x14ac:dyDescent="0.45">
      <c r="B19" s="15" t="s">
        <v>19</v>
      </c>
      <c r="C19" s="15">
        <v>6</v>
      </c>
    </row>
    <row r="20" spans="2:9" x14ac:dyDescent="0.45">
      <c r="B20" s="15" t="s">
        <v>17</v>
      </c>
      <c r="C20" s="15">
        <v>2</v>
      </c>
    </row>
    <row r="22" spans="2:9" x14ac:dyDescent="0.45">
      <c r="B22" s="17" t="s">
        <v>58</v>
      </c>
      <c r="C22" s="20">
        <f>C19</f>
        <v>6</v>
      </c>
      <c r="D22" s="20">
        <f>C17</f>
        <v>15</v>
      </c>
      <c r="E22" s="20">
        <f>E17</f>
        <v>55</v>
      </c>
      <c r="G22" s="17" t="s">
        <v>23</v>
      </c>
      <c r="H22" s="20">
        <f>D17</f>
        <v>152.6</v>
      </c>
    </row>
    <row r="23" spans="2:9" x14ac:dyDescent="0.45">
      <c r="C23" s="20">
        <f>C17</f>
        <v>15</v>
      </c>
      <c r="D23" s="20">
        <f>E17</f>
        <v>55</v>
      </c>
      <c r="E23" s="20">
        <f>F17</f>
        <v>225</v>
      </c>
      <c r="H23" s="20">
        <f>H17</f>
        <v>585.6</v>
      </c>
    </row>
    <row r="24" spans="2:9" x14ac:dyDescent="0.45">
      <c r="C24" s="20">
        <f>E17</f>
        <v>55</v>
      </c>
      <c r="D24" s="20">
        <f>F17</f>
        <v>225</v>
      </c>
      <c r="E24" s="20">
        <f>G17</f>
        <v>979</v>
      </c>
      <c r="H24" s="20">
        <f>I17</f>
        <v>2488.8000000000002</v>
      </c>
    </row>
    <row r="26" spans="2:9" x14ac:dyDescent="0.45">
      <c r="B26" s="17" t="s">
        <v>59</v>
      </c>
      <c r="C26" s="20">
        <f>INDEX(MMULT(MINVERSE(C22:E24),H22:H24),1,1)</f>
        <v>2.4785714285713709</v>
      </c>
      <c r="D26" s="15" t="s">
        <v>30</v>
      </c>
    </row>
    <row r="27" spans="2:9" x14ac:dyDescent="0.45">
      <c r="C27" s="20">
        <f>INDEX(MMULT(MINVERSE(C22:E24),H22:H24),2,1)</f>
        <v>2.3592857142858747</v>
      </c>
      <c r="D27" s="15" t="s">
        <v>32</v>
      </c>
    </row>
    <row r="28" spans="2:9" x14ac:dyDescent="0.45">
      <c r="C28" s="20">
        <f>INDEX(MMULT(MINVERSE(C22:E24),H22:H24),3,1)</f>
        <v>1.8607142857142804</v>
      </c>
      <c r="D28" s="15" t="s">
        <v>34</v>
      </c>
    </row>
    <row r="30" spans="2:9" x14ac:dyDescent="0.45">
      <c r="B30" s="15" t="s">
        <v>60</v>
      </c>
      <c r="C30" s="15" t="s">
        <v>61</v>
      </c>
    </row>
    <row r="31" spans="2:9" ht="42.75" customHeight="1" x14ac:dyDescent="0.45">
      <c r="B31" s="15" t="s">
        <v>62</v>
      </c>
      <c r="C31" s="35" t="s">
        <v>63</v>
      </c>
      <c r="D31" s="35"/>
      <c r="E31" s="35"/>
      <c r="F31" s="35"/>
      <c r="G31" s="35"/>
      <c r="H31" s="35"/>
      <c r="I31" s="35"/>
    </row>
    <row r="33" spans="2:2" x14ac:dyDescent="0.45">
      <c r="B33" s="17" t="s">
        <v>64</v>
      </c>
    </row>
    <row r="34" spans="2:2" x14ac:dyDescent="0.45">
      <c r="B34" s="15" t="s">
        <v>58</v>
      </c>
    </row>
    <row r="35" spans="2:2" ht="160.05000000000001" customHeight="1" x14ac:dyDescent="0.45"/>
    <row r="36" spans="2:2" x14ac:dyDescent="0.45">
      <c r="B36" s="15" t="s">
        <v>65</v>
      </c>
    </row>
    <row r="47" spans="2:2" ht="280.05" customHeight="1" x14ac:dyDescent="0.45"/>
  </sheetData>
  <mergeCells count="1">
    <mergeCell ref="C31:I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676A-1C1E-4716-88AE-4D79DDB51B5B}">
  <dimension ref="A1:V30"/>
  <sheetViews>
    <sheetView tabSelected="1" zoomScale="52" workbookViewId="0">
      <selection activeCell="K26" sqref="K26"/>
    </sheetView>
  </sheetViews>
  <sheetFormatPr defaultRowHeight="14.25" x14ac:dyDescent="0.45"/>
  <cols>
    <col min="1" max="1" width="6.59765625" style="15" customWidth="1"/>
    <col min="2" max="4" width="8.59765625" style="15" customWidth="1"/>
    <col min="5" max="5" width="10.59765625" style="15" customWidth="1"/>
    <col min="6" max="6" width="11.59765625" style="15" customWidth="1"/>
    <col min="7" max="7" width="10.59765625" style="15" customWidth="1"/>
    <col min="8" max="8" width="11.59765625" style="15" customWidth="1"/>
    <col min="9" max="9" width="12.59765625" style="15" customWidth="1"/>
    <col min="10" max="10" width="20.59765625" style="15" customWidth="1"/>
    <col min="11" max="14" width="12.59765625" style="15" customWidth="1"/>
    <col min="15" max="15" width="6.59765625" style="15" customWidth="1"/>
    <col min="16" max="16" width="12.59765625" style="15" customWidth="1"/>
    <col min="17" max="17" width="6.59765625" style="15" customWidth="1"/>
    <col min="18" max="18" width="9.06640625" style="15"/>
    <col min="19" max="20" width="14.59765625" style="15" customWidth="1"/>
    <col min="21" max="21" width="12.59765625" style="15" customWidth="1"/>
    <col min="22" max="22" width="14.59765625" style="15" customWidth="1"/>
    <col min="23" max="16384" width="9.06640625" style="15"/>
  </cols>
  <sheetData>
    <row r="1" spans="1:22" ht="21" x14ac:dyDescent="0.65">
      <c r="A1" s="22" t="s">
        <v>66</v>
      </c>
    </row>
    <row r="2" spans="1:22" ht="32" customHeight="1" x14ac:dyDescent="0.45">
      <c r="J2" s="25" t="s">
        <v>81</v>
      </c>
    </row>
    <row r="3" spans="1:22" ht="18" customHeight="1" x14ac:dyDescent="0.45">
      <c r="A3" s="19" t="s">
        <v>5</v>
      </c>
      <c r="B3" s="19" t="s">
        <v>67</v>
      </c>
      <c r="C3" s="19" t="s">
        <v>68</v>
      </c>
      <c r="D3" s="19" t="s">
        <v>7</v>
      </c>
      <c r="E3" s="19" t="s">
        <v>69</v>
      </c>
      <c r="F3" s="19" t="s">
        <v>70</v>
      </c>
      <c r="G3" s="19" t="s">
        <v>71</v>
      </c>
      <c r="H3" s="19" t="s">
        <v>72</v>
      </c>
      <c r="I3" s="19" t="s">
        <v>73</v>
      </c>
      <c r="J3" s="24" t="s">
        <v>82</v>
      </c>
      <c r="S3" s="26"/>
      <c r="T3" s="19" t="s">
        <v>77</v>
      </c>
      <c r="U3" s="15" t="s">
        <v>24</v>
      </c>
      <c r="V3" s="21">
        <f>AVERAGE(D4:D9)</f>
        <v>9</v>
      </c>
    </row>
    <row r="4" spans="1:22" x14ac:dyDescent="0.45">
      <c r="A4" s="18">
        <v>1</v>
      </c>
      <c r="B4" s="18">
        <v>0</v>
      </c>
      <c r="C4" s="18">
        <v>0</v>
      </c>
      <c r="D4" s="18">
        <v>5</v>
      </c>
      <c r="E4" s="18">
        <f t="shared" ref="E4:E9" si="0">B4^2</f>
        <v>0</v>
      </c>
      <c r="F4" s="18">
        <f t="shared" ref="F4:F9" si="1">B4*C4</f>
        <v>0</v>
      </c>
      <c r="G4" s="18">
        <f t="shared" ref="G4:G9" si="2">C4^2</f>
        <v>0</v>
      </c>
      <c r="H4" s="18">
        <f t="shared" ref="H4:H9" si="3">B4*D4</f>
        <v>0</v>
      </c>
      <c r="I4" s="18">
        <f t="shared" ref="I4:I9" si="4">C4*D4</f>
        <v>0</v>
      </c>
      <c r="J4" s="28">
        <f t="shared" ref="J4:J9" si="5">($L$21+$L$22*B4+$L$23*C4-D4)^2</f>
        <v>7.8886090522101181E-29</v>
      </c>
      <c r="S4" s="27"/>
      <c r="T4" s="20">
        <f t="shared" ref="T4:T9" si="6">(D4-$V$3)^2</f>
        <v>16</v>
      </c>
    </row>
    <row r="5" spans="1:22" x14ac:dyDescent="0.45">
      <c r="A5" s="18">
        <v>2</v>
      </c>
      <c r="B5" s="18">
        <v>2</v>
      </c>
      <c r="C5" s="18">
        <v>1</v>
      </c>
      <c r="D5" s="18">
        <v>10</v>
      </c>
      <c r="E5" s="18">
        <f t="shared" si="0"/>
        <v>4</v>
      </c>
      <c r="F5" s="18">
        <f t="shared" si="1"/>
        <v>2</v>
      </c>
      <c r="G5" s="18">
        <f t="shared" si="2"/>
        <v>1</v>
      </c>
      <c r="H5" s="18">
        <f t="shared" si="3"/>
        <v>20</v>
      </c>
      <c r="I5" s="18">
        <f t="shared" si="4"/>
        <v>10</v>
      </c>
      <c r="J5" s="28">
        <f t="shared" si="5"/>
        <v>2.8398992587956425E-29</v>
      </c>
      <c r="S5" s="27"/>
      <c r="T5" s="20">
        <f t="shared" si="6"/>
        <v>1</v>
      </c>
    </row>
    <row r="6" spans="1:22" x14ac:dyDescent="0.45">
      <c r="A6" s="18">
        <v>3</v>
      </c>
      <c r="B6" s="18">
        <v>2.5</v>
      </c>
      <c r="C6" s="18">
        <v>2</v>
      </c>
      <c r="D6" s="18">
        <v>9</v>
      </c>
      <c r="E6" s="18">
        <f t="shared" si="0"/>
        <v>6.25</v>
      </c>
      <c r="F6" s="18">
        <f t="shared" si="1"/>
        <v>5</v>
      </c>
      <c r="G6" s="18">
        <f t="shared" si="2"/>
        <v>4</v>
      </c>
      <c r="H6" s="18">
        <f t="shared" si="3"/>
        <v>22.5</v>
      </c>
      <c r="I6" s="18">
        <f t="shared" si="4"/>
        <v>18</v>
      </c>
      <c r="J6" s="28">
        <f t="shared" si="5"/>
        <v>1.2621774483536189E-29</v>
      </c>
      <c r="S6" s="27"/>
      <c r="T6" s="20">
        <f t="shared" si="6"/>
        <v>0</v>
      </c>
    </row>
    <row r="7" spans="1:22" x14ac:dyDescent="0.45">
      <c r="A7" s="18">
        <v>4</v>
      </c>
      <c r="B7" s="18">
        <v>1</v>
      </c>
      <c r="C7" s="18">
        <v>3</v>
      </c>
      <c r="D7" s="18">
        <v>0</v>
      </c>
      <c r="E7" s="18">
        <f t="shared" si="0"/>
        <v>1</v>
      </c>
      <c r="F7" s="18">
        <f t="shared" si="1"/>
        <v>3</v>
      </c>
      <c r="G7" s="18">
        <f t="shared" si="2"/>
        <v>9</v>
      </c>
      <c r="H7" s="18">
        <f t="shared" si="3"/>
        <v>0</v>
      </c>
      <c r="I7" s="18">
        <f t="shared" si="4"/>
        <v>0</v>
      </c>
      <c r="J7" s="28">
        <f t="shared" si="5"/>
        <v>3.1554436208840472E-30</v>
      </c>
      <c r="K7" s="17" t="s">
        <v>49</v>
      </c>
      <c r="N7" s="17" t="s">
        <v>23</v>
      </c>
      <c r="P7" s="17" t="s">
        <v>22</v>
      </c>
      <c r="S7" s="27"/>
      <c r="T7" s="20">
        <f t="shared" si="6"/>
        <v>81</v>
      </c>
    </row>
    <row r="8" spans="1:22" x14ac:dyDescent="0.45">
      <c r="A8" s="18">
        <v>5</v>
      </c>
      <c r="B8" s="18">
        <v>4</v>
      </c>
      <c r="C8" s="18">
        <v>6</v>
      </c>
      <c r="D8" s="18">
        <v>3</v>
      </c>
      <c r="E8" s="18">
        <f t="shared" si="0"/>
        <v>16</v>
      </c>
      <c r="F8" s="18">
        <f t="shared" si="1"/>
        <v>24</v>
      </c>
      <c r="G8" s="18">
        <f t="shared" si="2"/>
        <v>36</v>
      </c>
      <c r="H8" s="18">
        <f t="shared" si="3"/>
        <v>12</v>
      </c>
      <c r="I8" s="18">
        <f t="shared" si="4"/>
        <v>18</v>
      </c>
      <c r="J8" s="28">
        <f t="shared" si="5"/>
        <v>1.2621774483536189E-29</v>
      </c>
      <c r="S8" s="27"/>
      <c r="T8" s="20">
        <f t="shared" si="6"/>
        <v>36</v>
      </c>
    </row>
    <row r="9" spans="1:22" x14ac:dyDescent="0.45">
      <c r="A9" s="18">
        <v>6</v>
      </c>
      <c r="B9" s="18">
        <v>7</v>
      </c>
      <c r="C9" s="18">
        <v>2</v>
      </c>
      <c r="D9" s="18">
        <v>27</v>
      </c>
      <c r="E9" s="18">
        <f t="shared" si="0"/>
        <v>49</v>
      </c>
      <c r="F9" s="18">
        <f t="shared" si="1"/>
        <v>14</v>
      </c>
      <c r="G9" s="18">
        <f t="shared" si="2"/>
        <v>4</v>
      </c>
      <c r="H9" s="18">
        <f t="shared" si="3"/>
        <v>189</v>
      </c>
      <c r="I9" s="18">
        <f t="shared" si="4"/>
        <v>54</v>
      </c>
      <c r="J9" s="28">
        <f t="shared" si="5"/>
        <v>1.2621774483536189E-29</v>
      </c>
      <c r="K9" s="15" t="s">
        <v>74</v>
      </c>
      <c r="L9" s="33" t="s">
        <v>75</v>
      </c>
      <c r="M9" s="34"/>
      <c r="N9" s="34"/>
      <c r="S9" s="27"/>
      <c r="T9" s="20">
        <f t="shared" si="6"/>
        <v>324</v>
      </c>
    </row>
    <row r="10" spans="1:22" x14ac:dyDescent="0.45">
      <c r="B10" s="18">
        <f t="shared" ref="B10:I10" si="7">SUM(B4:B9)</f>
        <v>16.5</v>
      </c>
      <c r="C10" s="18">
        <f t="shared" si="7"/>
        <v>14</v>
      </c>
      <c r="D10" s="18">
        <f t="shared" si="7"/>
        <v>54</v>
      </c>
      <c r="E10" s="18">
        <f t="shared" si="7"/>
        <v>76.25</v>
      </c>
      <c r="F10" s="18">
        <f t="shared" si="7"/>
        <v>48</v>
      </c>
      <c r="G10" s="18">
        <f t="shared" si="7"/>
        <v>54</v>
      </c>
      <c r="H10" s="18">
        <f t="shared" si="7"/>
        <v>243.5</v>
      </c>
      <c r="I10" s="18">
        <f t="shared" si="7"/>
        <v>100</v>
      </c>
      <c r="J10" s="28">
        <f>SUM(J4:J9)</f>
        <v>1.4830585018155022E-28</v>
      </c>
      <c r="S10" s="27"/>
      <c r="T10" s="20">
        <f>SUM(T4:T9)</f>
        <v>458</v>
      </c>
    </row>
    <row r="11" spans="1:22" x14ac:dyDescent="0.45">
      <c r="I11" s="29" t="s">
        <v>4</v>
      </c>
      <c r="J11" s="30">
        <f>J10</f>
        <v>1.4830585018155022E-28</v>
      </c>
      <c r="K11" s="17" t="s">
        <v>49</v>
      </c>
      <c r="N11" s="17" t="s">
        <v>23</v>
      </c>
      <c r="P11" s="17" t="s">
        <v>22</v>
      </c>
    </row>
    <row r="12" spans="1:22" x14ac:dyDescent="0.45">
      <c r="K12" s="18">
        <f>COUNTA(A4:A9)</f>
        <v>6</v>
      </c>
      <c r="L12" s="18">
        <f>B10</f>
        <v>16.5</v>
      </c>
      <c r="M12" s="18">
        <f>C10</f>
        <v>14</v>
      </c>
      <c r="N12" s="18">
        <f>D10</f>
        <v>54</v>
      </c>
      <c r="P12" s="23">
        <f>INDEX(MMULT(MINVERSE(K12:M14),N12:N14),1,1)</f>
        <v>5.0000000000000089</v>
      </c>
      <c r="Q12" s="15" t="s">
        <v>30</v>
      </c>
    </row>
    <row r="13" spans="1:22" x14ac:dyDescent="0.45">
      <c r="K13" s="18">
        <f>B10</f>
        <v>16.5</v>
      </c>
      <c r="L13" s="18">
        <f>E10</f>
        <v>76.25</v>
      </c>
      <c r="M13" s="18">
        <f>F10</f>
        <v>48</v>
      </c>
      <c r="N13" s="18">
        <f>H10</f>
        <v>243.5</v>
      </c>
      <c r="P13" s="23">
        <f>INDEX(MMULT(MINVERSE(K12:M14),N12:N14),2,1)</f>
        <v>3.9999999999999991</v>
      </c>
      <c r="Q13" s="15" t="s">
        <v>32</v>
      </c>
    </row>
    <row r="14" spans="1:22" x14ac:dyDescent="0.45">
      <c r="K14" s="18">
        <f>C10</f>
        <v>14</v>
      </c>
      <c r="L14" s="18">
        <f>F10</f>
        <v>48</v>
      </c>
      <c r="M14" s="18">
        <f>G10</f>
        <v>54</v>
      </c>
      <c r="N14" s="18">
        <f>I10</f>
        <v>100</v>
      </c>
      <c r="P14" s="23">
        <f>INDEX(MMULT(MINVERSE(K12:M14),N12:N14),3,1)</f>
        <v>-3.0000000000000018</v>
      </c>
      <c r="Q14" s="15" t="s">
        <v>34</v>
      </c>
    </row>
    <row r="16" spans="1:22" ht="28.05" customHeight="1" x14ac:dyDescent="0.45">
      <c r="A16" s="15" t="s">
        <v>62</v>
      </c>
      <c r="B16" s="35" t="s">
        <v>84</v>
      </c>
      <c r="C16" s="35"/>
      <c r="D16" s="35"/>
      <c r="E16" s="35"/>
      <c r="F16" s="35"/>
      <c r="G16" s="35"/>
      <c r="H16" s="35"/>
      <c r="I16" s="35"/>
      <c r="J16" s="35"/>
      <c r="K16" s="17" t="s">
        <v>76</v>
      </c>
      <c r="O16" s="17" t="s">
        <v>78</v>
      </c>
    </row>
    <row r="17" spans="1:16" x14ac:dyDescent="0.45">
      <c r="K17" s="23">
        <f>INDEX(MINVERSE($K$12:$M$14),1,1)</f>
        <v>0.53174021404486149</v>
      </c>
      <c r="L17" s="23">
        <f>INDEX(MINVERSE($K$12:$M$14),1,2)</f>
        <v>-6.421345843717928E-2</v>
      </c>
      <c r="M17" s="23">
        <f>INDEX(MINVERSE($K$12:$M$14),1,3)</f>
        <v>-8.0779944289693581E-2</v>
      </c>
      <c r="O17" s="17" t="s">
        <v>79</v>
      </c>
    </row>
    <row r="18" spans="1:16" ht="120" customHeight="1" x14ac:dyDescent="0.45">
      <c r="A18" s="15" t="s">
        <v>83</v>
      </c>
      <c r="K18" s="23">
        <f>INDEX(MINVERSE($K$12:$M$14),2,1)</f>
        <v>-6.4213458437179294E-2</v>
      </c>
      <c r="L18" s="23">
        <f>INDEX(MINVERSE($K$12:$M$14),2,2)</f>
        <v>3.7531153789766888E-2</v>
      </c>
      <c r="M18" s="23">
        <f>INDEX(MINVERSE($K$12:$M$14),2,3)</f>
        <v>-1.6713091922005568E-2</v>
      </c>
    </row>
    <row r="19" spans="1:16" x14ac:dyDescent="0.45">
      <c r="K19" s="23">
        <f>INDEX(MINVERSE($K$12:$M$14),3,1)</f>
        <v>-8.0779944289693623E-2</v>
      </c>
      <c r="L19" s="23">
        <f>INDEX(MINVERSE($K$12:$M$14),3,2)</f>
        <v>-1.6713091922005565E-2</v>
      </c>
      <c r="M19" s="23">
        <f>INDEX(MINVERSE($K$12:$M$14),3,3)</f>
        <v>5.4317548746518104E-2</v>
      </c>
    </row>
    <row r="21" spans="1:16" x14ac:dyDescent="0.45">
      <c r="K21" s="17" t="s">
        <v>22</v>
      </c>
      <c r="L21" s="23">
        <f>P12</f>
        <v>5.0000000000000089</v>
      </c>
      <c r="M21" s="15" t="s">
        <v>30</v>
      </c>
    </row>
    <row r="22" spans="1:16" x14ac:dyDescent="0.45">
      <c r="L22" s="23">
        <f>P13</f>
        <v>3.9999999999999991</v>
      </c>
      <c r="M22" s="15" t="s">
        <v>32</v>
      </c>
    </row>
    <row r="23" spans="1:16" x14ac:dyDescent="0.45">
      <c r="L23" s="23">
        <f>P14</f>
        <v>-3.0000000000000018</v>
      </c>
      <c r="M23" s="15" t="s">
        <v>34</v>
      </c>
    </row>
    <row r="28" spans="1:16" x14ac:dyDescent="0.45">
      <c r="O28" s="15" t="s">
        <v>80</v>
      </c>
      <c r="P28" s="31">
        <f>J10</f>
        <v>1.4830585018155022E-28</v>
      </c>
    </row>
    <row r="29" spans="1:16" x14ac:dyDescent="0.45">
      <c r="O29" s="15" t="s">
        <v>25</v>
      </c>
      <c r="P29" s="32">
        <f>(T10-J10)/T10</f>
        <v>1</v>
      </c>
    </row>
    <row r="30" spans="1:16" x14ac:dyDescent="0.45">
      <c r="O30" s="15" t="s">
        <v>28</v>
      </c>
      <c r="P30" s="32">
        <f>SQRT(P29)</f>
        <v>1</v>
      </c>
    </row>
  </sheetData>
  <mergeCells count="2">
    <mergeCell ref="L9:N9"/>
    <mergeCell ref="B16:J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AJUSTE</vt:lpstr>
      <vt:lpstr>REGRESION_POLINOMIAL</vt:lpstr>
      <vt:lpstr>c a b</vt:lpstr>
      <vt:lpstr>Regresion 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2026-10-07T16:00:11Z</dcterms:created>
  <dcterms:modified xsi:type="dcterms:W3CDTF">2026-10-07T19:42:08Z</dcterms:modified>
</cp:coreProperties>
</file>