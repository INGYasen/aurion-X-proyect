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en\Downloads\metodo numerico 6to\"/>
    </mc:Choice>
  </mc:AlternateContent>
  <xr:revisionPtr revIDLastSave="0" documentId="13_ncr:1_{7ED142FA-8C84-42C4-852A-ED1FF32B0A8C}" xr6:coauthVersionLast="47" xr6:coauthVersionMax="47" xr10:uidLastSave="{00000000-0000-0000-0000-000000000000}"/>
  <bookViews>
    <workbookView xWindow="-98" yWindow="-98" windowWidth="19396" windowHeight="11475" xr2:uid="{0E11878F-AC0A-4B34-BB94-7850B2630566}"/>
  </bookViews>
  <sheets>
    <sheet name="normas" sheetId="1" r:id="rId1"/>
    <sheet name="condicional" sheetId="2" r:id="rId2"/>
    <sheet name="Jacob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5" i="3" l="1"/>
  <c r="J52" i="3"/>
  <c r="I54" i="3"/>
  <c r="I53" i="3"/>
  <c r="I52" i="3"/>
  <c r="J49" i="3"/>
  <c r="I51" i="3"/>
  <c r="I50" i="3"/>
  <c r="I49" i="3"/>
  <c r="J46" i="3"/>
  <c r="I48" i="3"/>
  <c r="I47" i="3"/>
  <c r="I46" i="3"/>
  <c r="J43" i="3"/>
  <c r="I45" i="3"/>
  <c r="I44" i="3"/>
  <c r="I43" i="3"/>
  <c r="J40" i="3"/>
  <c r="I42" i="3"/>
  <c r="I41" i="3"/>
  <c r="I40" i="3"/>
  <c r="J37" i="3"/>
  <c r="I39" i="3"/>
  <c r="I38" i="3"/>
  <c r="I37" i="3"/>
  <c r="J34" i="3"/>
  <c r="I36" i="3"/>
  <c r="I35" i="3"/>
  <c r="I34" i="3"/>
  <c r="J31" i="3"/>
  <c r="I33" i="3"/>
  <c r="I32" i="3"/>
  <c r="I31" i="3"/>
  <c r="J28" i="3"/>
  <c r="I30" i="3"/>
  <c r="I29" i="3"/>
  <c r="I28" i="3"/>
  <c r="J25" i="3"/>
  <c r="I27" i="3"/>
  <c r="I26" i="3"/>
  <c r="I25" i="3"/>
  <c r="J22" i="3"/>
  <c r="I24" i="3"/>
  <c r="I23" i="3"/>
  <c r="I22" i="3"/>
  <c r="J19" i="3"/>
  <c r="I21" i="3"/>
  <c r="I20" i="3"/>
  <c r="I19" i="3"/>
  <c r="J16" i="3"/>
  <c r="I18" i="3"/>
  <c r="I17" i="3"/>
  <c r="I16" i="3"/>
  <c r="J13" i="3"/>
  <c r="I15" i="3"/>
  <c r="I14" i="3"/>
  <c r="I13" i="3"/>
  <c r="J10" i="3"/>
  <c r="I12" i="3"/>
  <c r="I11" i="3"/>
  <c r="I10" i="3"/>
  <c r="J7" i="3"/>
  <c r="I9" i="3"/>
  <c r="I8" i="3"/>
  <c r="I7" i="3"/>
  <c r="B17" i="3"/>
  <c r="C16" i="3"/>
  <c r="C15" i="3"/>
  <c r="B15" i="3"/>
  <c r="C14" i="3"/>
  <c r="B14" i="3"/>
  <c r="C13" i="3"/>
  <c r="B11" i="3"/>
  <c r="B10" i="3"/>
  <c r="B9" i="3"/>
  <c r="D7" i="3"/>
  <c r="C7" i="3"/>
  <c r="B7" i="3"/>
  <c r="D6" i="3"/>
  <c r="C6" i="3"/>
  <c r="B6" i="3"/>
  <c r="D5" i="3"/>
  <c r="C5" i="3"/>
  <c r="B5" i="3"/>
</calcChain>
</file>

<file path=xl/sharedStrings.xml><?xml version="1.0" encoding="utf-8"?>
<sst xmlns="http://schemas.openxmlformats.org/spreadsheetml/2006/main" count="37" uniqueCount="34">
  <si>
    <t>Ejercicio 1:</t>
  </si>
  <si>
    <t>Calcular las normas de la matriz A de orden 3 x 3 y el radio espectral.
A = [-1  2  0 ;  5  -3  2 ;  -1  -2  -4]</t>
  </si>
  <si>
    <t>Conclusión:</t>
  </si>
  <si>
    <t>||A||_2 = 6.5516 ,  ||A||_1 = 7 ,  ||A||_inf = 10 .  Radio espectral ρ(A) = 4.6223</t>
  </si>
  <si>
    <t>Matriz A</t>
  </si>
  <si>
    <t>Radio espectral</t>
  </si>
  <si>
    <t>Ejercicio 2:</t>
  </si>
  <si>
    <t>Que puede decir del condicionamiento de los sistemas:
i)  3.9x1 + 1.6x2 = 5.5  ;  6.8x1 + 2.9x2 = 9.7
ii) 4.56x1 + 2.18x2 = 6.74  ;  2.79x1 + 1.38x2 = 4.17</t>
  </si>
  <si>
    <t>B y cond(B)</t>
  </si>
  <si>
    <t>Sistema i</t>
  </si>
  <si>
    <t>Evidencias Octave</t>
  </si>
  <si>
    <t>Evidencias</t>
  </si>
  <si>
    <t>Bj</t>
  </si>
  <si>
    <t>norm(Bj,inf)</t>
  </si>
  <si>
    <t>norm(Bj,1)</t>
  </si>
  <si>
    <t>Al menos uno &lt; 1</t>
  </si>
  <si>
    <t>Normas y cond(Bj)</t>
  </si>
  <si>
    <t>Ejemplo</t>
  </si>
  <si>
    <t>Convergencia</t>
  </si>
  <si>
    <t>Solución</t>
  </si>
  <si>
    <t>E</t>
  </si>
  <si>
    <t>norm(Bj)</t>
  </si>
  <si>
    <t>Radio espectral = 0.6311 &lt;1, Bj converge.</t>
  </si>
  <si>
    <t>X0=(0,0,0)t</t>
  </si>
  <si>
    <t>i</t>
  </si>
  <si>
    <t>Xk</t>
  </si>
  <si>
    <t>C</t>
  </si>
  <si>
    <t>E_inf</t>
  </si>
  <si>
    <t>Criterio</t>
  </si>
  <si>
    <t>En i=16, ||X16-X15||_inf &lt; 0.001.  X ≈ (0.9987273, 1.9993868, -0.9990051)</t>
  </si>
  <si>
    <t>X2 y E1=norm</t>
  </si>
  <si>
    <t>X15 y X16</t>
  </si>
  <si>
    <t>inf &lt; 0.001</t>
  </si>
  <si>
    <t xml:space="preserve">Evidencias Octave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</si>
</sst>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D06000"/>
      <name val="Calibri"/>
      <family val="2"/>
    </font>
    <font>
      <sz val="14"/>
      <color rgb="FF000000"/>
      <name val="Calibri"/>
      <family val="2"/>
    </font>
    <font>
      <sz val="11"/>
      <color theme="5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252413</xdr:colOff>
      <xdr:row>10</xdr:row>
      <xdr:rowOff>14287</xdr:rowOff>
    </xdr:from>
    <xdr:to>
      <xdr:col>7</xdr:col>
      <xdr:colOff>309563</xdr:colOff>
      <xdr:row>21</xdr:row>
      <xdr:rowOff>82991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FEDD35-FDD9-1F32-07D5-F341EB615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3" y="2347912"/>
          <a:ext cx="6858000" cy="2059429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22</xdr:row>
      <xdr:rowOff>52386</xdr:rowOff>
    </xdr:from>
    <xdr:to>
      <xdr:col>7</xdr:col>
      <xdr:colOff>257175</xdr:colOff>
      <xdr:row>33</xdr:row>
      <xdr:rowOff>223329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6F5662-8693-7AC5-A638-A56E2487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557711"/>
          <a:ext cx="6858000" cy="2485518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35</xdr:row>
      <xdr:rowOff>80961</xdr:rowOff>
    </xdr:from>
    <xdr:to>
      <xdr:col>7</xdr:col>
      <xdr:colOff>285750</xdr:colOff>
      <xdr:row>48</xdr:row>
      <xdr:rowOff>213804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F7E23E-6C88-9CBE-8688-62460EB6D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419974"/>
          <a:ext cx="6858000" cy="24855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252413</xdr:colOff>
      <xdr:row>5</xdr:row>
      <xdr:rowOff>61913</xdr:rowOff>
    </xdr:from>
    <xdr:to>
      <xdr:col>7</xdr:col>
      <xdr:colOff>166688</xdr:colOff>
      <xdr:row>17</xdr:row>
      <xdr:rowOff>162686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916B13-240C-5E4D-7847-4A3421213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3" y="1443038"/>
          <a:ext cx="6858000" cy="227247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19</xdr:row>
      <xdr:rowOff>19051</xdr:rowOff>
    </xdr:from>
    <xdr:to>
      <xdr:col>7</xdr:col>
      <xdr:colOff>180975</xdr:colOff>
      <xdr:row>29</xdr:row>
      <xdr:rowOff>55686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3C3471-04EB-5045-6E79-669779594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3933826"/>
          <a:ext cx="6858000" cy="1846385"/>
        </a:xfrm>
        <a:prstGeom prst="rect">
          <a:avLst/>
        </a:prstGeom>
      </xdr:spPr>
    </xdr:pic>
    <xdr:clientData/>
  </xdr:twoCellAnchor>
  <xdr:twoCellAnchor editAs="oneCell">
    <xdr:from>
      <xdr:col>1</xdr:col>
      <xdr:colOff>9524</xdr:colOff>
      <xdr:row>30</xdr:row>
      <xdr:rowOff>33337</xdr:rowOff>
    </xdr:from>
    <xdr:to>
      <xdr:col>7</xdr:col>
      <xdr:colOff>180974</xdr:colOff>
      <xdr:row>44</xdr:row>
      <xdr:rowOff>103957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C146D9-BAB0-D230-A092-F8442EEF6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5938837"/>
          <a:ext cx="6858000" cy="333769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45</xdr:row>
      <xdr:rowOff>52388</xdr:rowOff>
    </xdr:from>
    <xdr:to>
      <xdr:col>7</xdr:col>
      <xdr:colOff>171451</xdr:colOff>
      <xdr:row>59</xdr:row>
      <xdr:rowOff>756420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C707794-0623-3E04-9F6F-1B9CDA4C4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6" y="9405938"/>
          <a:ext cx="6858000" cy="333769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61</xdr:row>
      <xdr:rowOff>47626</xdr:rowOff>
    </xdr:from>
    <xdr:to>
      <xdr:col>7</xdr:col>
      <xdr:colOff>209550</xdr:colOff>
      <xdr:row>82</xdr:row>
      <xdr:rowOff>162066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1D0EE88-EBEE-F09C-5D7C-9C2891065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3220701"/>
          <a:ext cx="6858000" cy="39768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22</xdr:row>
      <xdr:rowOff>71440</xdr:rowOff>
    </xdr:from>
    <xdr:to>
      <xdr:col>6</xdr:col>
      <xdr:colOff>285749</xdr:colOff>
      <xdr:row>26</xdr:row>
      <xdr:rowOff>1535848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BF6351-6F6E-6844-8DC0-9DE5A8883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4481515"/>
          <a:ext cx="5853113" cy="2188308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28</xdr:row>
      <xdr:rowOff>52387</xdr:rowOff>
    </xdr:from>
    <xdr:to>
      <xdr:col>7</xdr:col>
      <xdr:colOff>0</xdr:colOff>
      <xdr:row>33</xdr:row>
      <xdr:rowOff>907195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1B77F5-1E2C-D83F-D277-37E5549F9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7038975"/>
          <a:ext cx="5934075" cy="218830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33</xdr:row>
      <xdr:rowOff>952500</xdr:rowOff>
    </xdr:from>
    <xdr:to>
      <xdr:col>6</xdr:col>
      <xdr:colOff>304800</xdr:colOff>
      <xdr:row>41</xdr:row>
      <xdr:rowOff>855540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5C01F47-637D-49CE-A112-ABAD3F706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9272588"/>
          <a:ext cx="5891212" cy="2598615"/>
        </a:xfrm>
        <a:prstGeom prst="rect">
          <a:avLst/>
        </a:prstGeom>
      </xdr:spPr>
    </xdr:pic>
    <xdr:clientData/>
  </xdr:twoCellAnchor>
  <xdr:twoCellAnchor editAs="oneCell">
    <xdr:from>
      <xdr:col>0</xdr:col>
      <xdr:colOff>33338</xdr:colOff>
      <xdr:row>41</xdr:row>
      <xdr:rowOff>1028700</xdr:rowOff>
    </xdr:from>
    <xdr:to>
      <xdr:col>6</xdr:col>
      <xdr:colOff>323850</xdr:colOff>
      <xdr:row>48</xdr:row>
      <xdr:rowOff>1644284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3104628-1930-49FC-BBE8-AB285587C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8" y="12044363"/>
          <a:ext cx="5905500" cy="4239846"/>
        </a:xfrm>
        <a:prstGeom prst="rect">
          <a:avLst/>
        </a:prstGeom>
      </xdr:spPr>
    </xdr:pic>
    <xdr:clientData/>
  </xdr:twoCellAnchor>
  <xdr:twoCellAnchor editAs="oneCell">
    <xdr:from>
      <xdr:col>0</xdr:col>
      <xdr:colOff>42863</xdr:colOff>
      <xdr:row>50</xdr:row>
      <xdr:rowOff>19050</xdr:rowOff>
    </xdr:from>
    <xdr:to>
      <xdr:col>6</xdr:col>
      <xdr:colOff>252412</xdr:colOff>
      <xdr:row>60</xdr:row>
      <xdr:rowOff>1018931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726469A-99CB-494D-B701-C95EC2443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3" y="16697325"/>
          <a:ext cx="5824537" cy="34192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1052513</xdr:rowOff>
    </xdr:from>
    <xdr:to>
      <xdr:col>6</xdr:col>
      <xdr:colOff>219074</xdr:colOff>
      <xdr:row>89</xdr:row>
      <xdr:rowOff>37856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D602FDA-4392-447B-B1E2-23BAAD23A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150138"/>
          <a:ext cx="5834062" cy="8753231"/>
        </a:xfrm>
        <a:prstGeom prst="rect">
          <a:avLst/>
        </a:prstGeom>
      </xdr:spPr>
    </xdr:pic>
    <xdr:clientData/>
  </xdr:twoCellAnchor>
  <xdr:twoCellAnchor editAs="oneCell">
    <xdr:from>
      <xdr:col>0</xdr:col>
      <xdr:colOff>14288</xdr:colOff>
      <xdr:row>89</xdr:row>
      <xdr:rowOff>66675</xdr:rowOff>
    </xdr:from>
    <xdr:to>
      <xdr:col>8</xdr:col>
      <xdr:colOff>60325</xdr:colOff>
      <xdr:row>108</xdr:row>
      <xdr:rowOff>2514356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30129EB-1498-4BCE-812F-9712F77C2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8932188"/>
          <a:ext cx="6604000" cy="875323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108</xdr:row>
      <xdr:rowOff>2809875</xdr:rowOff>
    </xdr:from>
    <xdr:to>
      <xdr:col>8</xdr:col>
      <xdr:colOff>74612</xdr:colOff>
      <xdr:row>140</xdr:row>
      <xdr:rowOff>37856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4C83039-240B-4162-8602-154463551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7980938"/>
          <a:ext cx="6604000" cy="8753231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</xdr:colOff>
      <xdr:row>142</xdr:row>
      <xdr:rowOff>33337</xdr:rowOff>
    </xdr:from>
    <xdr:to>
      <xdr:col>8</xdr:col>
      <xdr:colOff>117474</xdr:colOff>
      <xdr:row>156</xdr:row>
      <xdr:rowOff>2149841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F3BE5CD-CDAE-4AC9-8BB5-09EA575E6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" y="47291625"/>
          <a:ext cx="6604000" cy="4650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3A86-7289-4C25-8B18-B3BC55C7B375}">
  <dimension ref="B2:G65"/>
  <sheetViews>
    <sheetView tabSelected="1" workbookViewId="0">
      <selection activeCell="I9" sqref="I9"/>
    </sheetView>
  </sheetViews>
  <sheetFormatPr defaultRowHeight="14.25" x14ac:dyDescent="0.45"/>
  <cols>
    <col min="1" max="1" width="3.59765625" style="1" customWidth="1"/>
    <col min="2" max="2" width="22.59765625" style="1" customWidth="1"/>
    <col min="3" max="6" width="13.59765625" style="1" customWidth="1"/>
    <col min="7" max="7" width="14.59765625" style="1" customWidth="1"/>
    <col min="8" max="10" width="12.59765625" style="1" customWidth="1"/>
    <col min="11" max="16384" width="9.06640625" style="1"/>
  </cols>
  <sheetData>
    <row r="2" spans="2:7" ht="52.05" customHeight="1" x14ac:dyDescent="0.55000000000000004">
      <c r="B2" s="3" t="s">
        <v>0</v>
      </c>
      <c r="C2" s="12" t="s">
        <v>1</v>
      </c>
      <c r="D2" s="12"/>
      <c r="E2" s="12"/>
      <c r="F2" s="12"/>
      <c r="G2" s="12"/>
    </row>
    <row r="4" spans="2:7" x14ac:dyDescent="0.45">
      <c r="B4" s="2"/>
    </row>
    <row r="5" spans="2:7" x14ac:dyDescent="0.45">
      <c r="C5" s="5"/>
      <c r="D5" s="5"/>
      <c r="E5" s="5"/>
    </row>
    <row r="6" spans="2:7" ht="18" x14ac:dyDescent="0.55000000000000004">
      <c r="B6" s="2" t="s">
        <v>2</v>
      </c>
      <c r="C6" s="12" t="s">
        <v>3</v>
      </c>
      <c r="D6" s="12"/>
      <c r="E6" s="12"/>
      <c r="F6" s="12"/>
      <c r="G6" s="12"/>
    </row>
    <row r="7" spans="2:7" x14ac:dyDescent="0.45">
      <c r="C7" s="5"/>
      <c r="D7" s="5"/>
      <c r="E7" s="5"/>
    </row>
    <row r="8" spans="2:7" x14ac:dyDescent="0.45">
      <c r="B8" s="1" t="s">
        <v>10</v>
      </c>
    </row>
    <row r="9" spans="2:7" x14ac:dyDescent="0.45">
      <c r="B9" s="2"/>
      <c r="C9" s="6"/>
      <c r="D9" s="6"/>
      <c r="E9" s="6"/>
    </row>
    <row r="10" spans="2:7" x14ac:dyDescent="0.45">
      <c r="B10" s="1" t="s">
        <v>4</v>
      </c>
      <c r="C10" s="6"/>
    </row>
    <row r="12" spans="2:7" x14ac:dyDescent="0.45">
      <c r="B12" s="2"/>
      <c r="C12" s="6"/>
    </row>
    <row r="13" spans="2:7" x14ac:dyDescent="0.45">
      <c r="C13" s="6"/>
    </row>
    <row r="14" spans="2:7" x14ac:dyDescent="0.45">
      <c r="C14" s="6"/>
    </row>
    <row r="15" spans="2:7" x14ac:dyDescent="0.45">
      <c r="B15" s="2"/>
      <c r="C15" s="6"/>
    </row>
    <row r="17" spans="2:5" x14ac:dyDescent="0.45">
      <c r="B17" s="2"/>
      <c r="C17" s="2"/>
    </row>
    <row r="18" spans="2:5" x14ac:dyDescent="0.45">
      <c r="B18" s="7"/>
      <c r="C18" s="6"/>
    </row>
    <row r="19" spans="2:5" x14ac:dyDescent="0.45">
      <c r="B19" s="7"/>
      <c r="C19" s="6"/>
    </row>
    <row r="20" spans="2:5" x14ac:dyDescent="0.45">
      <c r="B20" s="7"/>
      <c r="C20" s="6"/>
    </row>
    <row r="22" spans="2:5" x14ac:dyDescent="0.45">
      <c r="B22" s="2"/>
      <c r="C22" s="2"/>
      <c r="D22" s="2"/>
      <c r="E22" s="2"/>
    </row>
    <row r="23" spans="2:5" x14ac:dyDescent="0.45">
      <c r="B23" s="7"/>
      <c r="C23" s="6"/>
      <c r="D23" s="6"/>
      <c r="E23" s="6"/>
    </row>
    <row r="24" spans="2:5" x14ac:dyDescent="0.45">
      <c r="B24" s="7"/>
      <c r="C24" s="6"/>
      <c r="D24" s="6"/>
      <c r="E24" s="6"/>
    </row>
    <row r="25" spans="2:5" x14ac:dyDescent="0.45">
      <c r="B25" s="7"/>
      <c r="C25" s="6"/>
      <c r="D25" s="6"/>
      <c r="E25" s="6"/>
    </row>
    <row r="27" spans="2:5" x14ac:dyDescent="0.45">
      <c r="B27" s="2"/>
      <c r="C27" s="6"/>
    </row>
    <row r="28" spans="2:5" x14ac:dyDescent="0.45">
      <c r="B28" s="2"/>
      <c r="C28" s="6"/>
    </row>
    <row r="30" spans="2:5" ht="40.049999999999997" customHeight="1" x14ac:dyDescent="0.45"/>
    <row r="32" spans="2:5" x14ac:dyDescent="0.45">
      <c r="B32" s="2"/>
    </row>
    <row r="34" spans="2:2" ht="26.65" customHeight="1" x14ac:dyDescent="0.45">
      <c r="B34" s="8"/>
    </row>
    <row r="35" spans="2:2" x14ac:dyDescent="0.45">
      <c r="B35" s="1" t="s">
        <v>5</v>
      </c>
    </row>
    <row r="49" ht="240" customHeight="1" x14ac:dyDescent="0.45"/>
    <row r="65" ht="280.05" customHeight="1" x14ac:dyDescent="0.45"/>
  </sheetData>
  <mergeCells count="2">
    <mergeCell ref="C2:G2"/>
    <mergeCell ref="C6:G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97F9-4106-4A5A-9C3F-09BF01B0B8C4}">
  <dimension ref="B2:K121"/>
  <sheetViews>
    <sheetView workbookViewId="0">
      <selection activeCell="I67" sqref="I67"/>
    </sheetView>
  </sheetViews>
  <sheetFormatPr defaultRowHeight="14.25" x14ac:dyDescent="0.45"/>
  <cols>
    <col min="1" max="1" width="3.59765625" style="1" customWidth="1"/>
    <col min="2" max="3" width="16.59765625" style="1" customWidth="1"/>
    <col min="4" max="4" width="18.59765625" style="1" customWidth="1"/>
    <col min="5" max="5" width="13.59765625" style="1" customWidth="1"/>
    <col min="6" max="6" width="14.59765625" style="1" customWidth="1"/>
    <col min="7" max="7" width="13.59765625" style="1" customWidth="1"/>
    <col min="8" max="8" width="8.59765625" style="1" customWidth="1"/>
    <col min="9" max="9" width="12.59765625" style="1" customWidth="1"/>
    <col min="10" max="10" width="4.59765625" style="1" customWidth="1"/>
    <col min="11" max="11" width="16.59765625" style="1" customWidth="1"/>
    <col min="12" max="12" width="12.59765625" style="1" customWidth="1"/>
    <col min="13" max="16384" width="9.06640625" style="1"/>
  </cols>
  <sheetData>
    <row r="2" spans="2:7" ht="52.05" customHeight="1" x14ac:dyDescent="0.55000000000000004">
      <c r="B2" s="3" t="s">
        <v>6</v>
      </c>
      <c r="C2" s="12" t="s">
        <v>7</v>
      </c>
      <c r="D2" s="12"/>
      <c r="E2" s="12"/>
      <c r="F2" s="12"/>
      <c r="G2" s="12"/>
    </row>
    <row r="4" spans="2:7" x14ac:dyDescent="0.45">
      <c r="B4" s="2" t="s">
        <v>11</v>
      </c>
      <c r="F4" s="2"/>
    </row>
    <row r="5" spans="2:7" x14ac:dyDescent="0.45">
      <c r="B5" s="1" t="s">
        <v>8</v>
      </c>
      <c r="C5" s="6"/>
      <c r="D5" s="6"/>
      <c r="F5" s="6"/>
      <c r="G5" s="6"/>
    </row>
    <row r="6" spans="2:7" x14ac:dyDescent="0.45">
      <c r="C6" s="6"/>
      <c r="D6" s="6"/>
      <c r="F6" s="6"/>
      <c r="G6" s="6"/>
    </row>
    <row r="8" spans="2:7" x14ac:dyDescent="0.45">
      <c r="C8" s="2"/>
      <c r="D8" s="2"/>
      <c r="E8" s="2"/>
    </row>
    <row r="9" spans="2:7" x14ac:dyDescent="0.45">
      <c r="B9" s="7"/>
      <c r="C9" s="6"/>
      <c r="D9" s="6"/>
      <c r="E9" s="6"/>
    </row>
    <row r="10" spans="2:7" x14ac:dyDescent="0.45">
      <c r="B10" s="7"/>
      <c r="C10" s="6"/>
      <c r="D10" s="6"/>
      <c r="E10" s="6"/>
    </row>
    <row r="11" spans="2:7" x14ac:dyDescent="0.45">
      <c r="B11" s="7"/>
      <c r="C11" s="6"/>
      <c r="D11" s="6"/>
      <c r="E11" s="6"/>
    </row>
    <row r="14" spans="2:7" x14ac:dyDescent="0.45">
      <c r="B14" s="2"/>
      <c r="F14" s="2"/>
    </row>
    <row r="15" spans="2:7" x14ac:dyDescent="0.45">
      <c r="C15" s="6"/>
      <c r="D15" s="6"/>
      <c r="F15" s="6"/>
      <c r="G15" s="6"/>
    </row>
    <row r="16" spans="2:7" x14ac:dyDescent="0.45">
      <c r="C16" s="6"/>
      <c r="D16" s="6"/>
      <c r="F16" s="6"/>
      <c r="G16" s="6"/>
    </row>
    <row r="18" spans="2:7" x14ac:dyDescent="0.45">
      <c r="C18" s="2"/>
      <c r="D18" s="2"/>
      <c r="E18" s="2"/>
    </row>
    <row r="19" spans="2:7" x14ac:dyDescent="0.45">
      <c r="B19" s="7"/>
      <c r="C19" s="6"/>
      <c r="D19" s="6"/>
      <c r="E19" s="6"/>
    </row>
    <row r="20" spans="2:7" x14ac:dyDescent="0.45">
      <c r="B20" s="7"/>
      <c r="C20" s="6"/>
      <c r="D20" s="6"/>
      <c r="E20" s="6"/>
    </row>
    <row r="21" spans="2:7" x14ac:dyDescent="0.45">
      <c r="B21" s="7"/>
      <c r="C21" s="6"/>
      <c r="D21" s="6"/>
      <c r="E21" s="6"/>
    </row>
    <row r="24" spans="2:7" x14ac:dyDescent="0.45">
      <c r="B24" s="2"/>
      <c r="F24" s="2"/>
    </row>
    <row r="25" spans="2:7" x14ac:dyDescent="0.45">
      <c r="C25" s="6"/>
      <c r="D25" s="6"/>
      <c r="F25" s="6"/>
      <c r="G25" s="6"/>
    </row>
    <row r="26" spans="2:7" x14ac:dyDescent="0.45">
      <c r="C26" s="6"/>
      <c r="D26" s="6"/>
      <c r="F26" s="6"/>
      <c r="G26" s="6"/>
    </row>
    <row r="28" spans="2:7" x14ac:dyDescent="0.45">
      <c r="C28" s="2"/>
      <c r="D28" s="2"/>
      <c r="E28" s="2"/>
    </row>
    <row r="29" spans="2:7" x14ac:dyDescent="0.45">
      <c r="B29" s="7"/>
      <c r="C29" s="6"/>
      <c r="D29" s="6"/>
      <c r="E29" s="6"/>
    </row>
    <row r="30" spans="2:7" x14ac:dyDescent="0.45">
      <c r="B30" s="7"/>
      <c r="C30" s="6"/>
      <c r="D30" s="6"/>
      <c r="E30" s="6"/>
    </row>
    <row r="31" spans="2:7" x14ac:dyDescent="0.45">
      <c r="B31" s="7"/>
      <c r="C31" s="6"/>
      <c r="D31" s="6"/>
      <c r="E31" s="6"/>
    </row>
    <row r="34" spans="2:11" ht="72" customHeight="1" x14ac:dyDescent="0.45"/>
    <row r="36" spans="2:11" x14ac:dyDescent="0.45">
      <c r="B36" s="2"/>
      <c r="F36" s="2"/>
      <c r="I36" s="2"/>
      <c r="K36" s="2"/>
    </row>
    <row r="37" spans="2:11" x14ac:dyDescent="0.45">
      <c r="C37" s="6"/>
      <c r="D37" s="6"/>
      <c r="F37" s="6"/>
      <c r="G37" s="6"/>
      <c r="I37" s="6"/>
      <c r="K37" s="6"/>
    </row>
    <row r="38" spans="2:11" x14ac:dyDescent="0.45">
      <c r="C38" s="6"/>
      <c r="D38" s="6"/>
      <c r="F38" s="6"/>
      <c r="G38" s="6"/>
      <c r="I38" s="6"/>
      <c r="K38" s="6"/>
    </row>
    <row r="40" spans="2:11" x14ac:dyDescent="0.45">
      <c r="C40" s="2"/>
      <c r="D40" s="2"/>
      <c r="E40" s="2"/>
    </row>
    <row r="41" spans="2:11" x14ac:dyDescent="0.45">
      <c r="B41" s="7"/>
      <c r="C41" s="6"/>
      <c r="D41" s="6"/>
      <c r="E41" s="6"/>
    </row>
    <row r="42" spans="2:11" x14ac:dyDescent="0.45">
      <c r="B42" s="7"/>
      <c r="C42" s="6"/>
      <c r="D42" s="6"/>
      <c r="E42" s="6"/>
    </row>
    <row r="43" spans="2:11" x14ac:dyDescent="0.45">
      <c r="B43" s="7"/>
      <c r="C43" s="6"/>
      <c r="D43" s="6"/>
      <c r="E43" s="6"/>
    </row>
    <row r="46" spans="2:11" x14ac:dyDescent="0.45">
      <c r="B46" s="2"/>
      <c r="F46" s="2"/>
      <c r="I46" s="2"/>
      <c r="K46" s="2"/>
    </row>
    <row r="47" spans="2:11" x14ac:dyDescent="0.45">
      <c r="C47" s="6"/>
      <c r="D47" s="6"/>
      <c r="F47" s="6"/>
      <c r="G47" s="6"/>
      <c r="I47" s="6"/>
      <c r="K47" s="6"/>
    </row>
    <row r="48" spans="2:11" x14ac:dyDescent="0.45">
      <c r="C48" s="6"/>
      <c r="D48" s="6"/>
      <c r="F48" s="6"/>
      <c r="G48" s="6"/>
      <c r="I48" s="6"/>
      <c r="K48" s="6"/>
    </row>
    <row r="50" spans="2:7" x14ac:dyDescent="0.45">
      <c r="C50" s="2"/>
      <c r="D50" s="2"/>
      <c r="E50" s="2"/>
    </row>
    <row r="51" spans="2:7" x14ac:dyDescent="0.45">
      <c r="B51" s="7"/>
      <c r="C51" s="6"/>
      <c r="D51" s="6"/>
      <c r="E51" s="6"/>
    </row>
    <row r="52" spans="2:7" x14ac:dyDescent="0.45">
      <c r="B52" s="7"/>
      <c r="C52" s="6"/>
      <c r="D52" s="6"/>
      <c r="E52" s="6"/>
    </row>
    <row r="53" spans="2:7" x14ac:dyDescent="0.45">
      <c r="B53" s="7"/>
      <c r="C53" s="6"/>
      <c r="D53" s="6"/>
      <c r="E53" s="6"/>
    </row>
    <row r="56" spans="2:7" ht="22.15" customHeight="1" x14ac:dyDescent="0.55000000000000004">
      <c r="B56" s="2"/>
      <c r="C56" s="4"/>
      <c r="D56" s="4"/>
      <c r="E56" s="4"/>
      <c r="F56" s="4"/>
      <c r="G56" s="4"/>
    </row>
    <row r="58" spans="2:7" x14ac:dyDescent="0.45">
      <c r="B58" s="2"/>
    </row>
    <row r="60" spans="2:7" ht="79.150000000000006" customHeight="1" x14ac:dyDescent="0.45"/>
    <row r="61" spans="2:7" x14ac:dyDescent="0.45">
      <c r="B61" s="1" t="s">
        <v>9</v>
      </c>
    </row>
    <row r="75" ht="19.149999999999999" customHeight="1" x14ac:dyDescent="0.45"/>
    <row r="88" ht="14.35" customHeight="1" x14ac:dyDescent="0.45"/>
    <row r="105" ht="260" customHeight="1" x14ac:dyDescent="0.45"/>
    <row r="121" ht="300" customHeight="1" x14ac:dyDescent="0.45"/>
  </sheetData>
  <mergeCells count="1">
    <mergeCell ref="C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696A-FBC9-4416-9205-D49A8D481621}">
  <dimension ref="A2:K189"/>
  <sheetViews>
    <sheetView workbookViewId="0">
      <selection activeCell="B143" sqref="B143"/>
    </sheetView>
  </sheetViews>
  <sheetFormatPr defaultRowHeight="14.25" x14ac:dyDescent="0.45"/>
  <cols>
    <col min="1" max="1" width="18.59765625" style="1" customWidth="1"/>
    <col min="2" max="4" width="13.59765625" style="1" customWidth="1"/>
    <col min="5" max="5" width="5.59765625" style="1" customWidth="1"/>
    <col min="6" max="6" width="13.59765625" style="1" customWidth="1"/>
    <col min="7" max="7" width="4.59765625" style="1" customWidth="1"/>
    <col min="8" max="8" width="8.59765625" style="1" customWidth="1"/>
    <col min="9" max="10" width="13.59765625" style="1" customWidth="1"/>
    <col min="11" max="11" width="12.59765625" style="1" customWidth="1"/>
    <col min="12" max="12" width="4.59765625" style="1" customWidth="1"/>
    <col min="13" max="15" width="11.59765625" style="1" customWidth="1"/>
    <col min="16" max="16384" width="9.06640625" style="1"/>
  </cols>
  <sheetData>
    <row r="2" spans="1:10" ht="48" customHeight="1" x14ac:dyDescent="0.45">
      <c r="A2" s="16" t="s">
        <v>17</v>
      </c>
      <c r="B2" s="16"/>
      <c r="H2" s="1" t="s">
        <v>19</v>
      </c>
      <c r="J2" s="1" t="s">
        <v>23</v>
      </c>
    </row>
    <row r="3" spans="1:10" x14ac:dyDescent="0.45">
      <c r="A3" s="16" t="s">
        <v>18</v>
      </c>
      <c r="B3" s="16"/>
      <c r="H3" s="11" t="s">
        <v>24</v>
      </c>
      <c r="I3" s="11" t="s">
        <v>25</v>
      </c>
      <c r="J3" s="11" t="s">
        <v>20</v>
      </c>
    </row>
    <row r="4" spans="1:10" x14ac:dyDescent="0.45">
      <c r="H4" s="13">
        <v>0</v>
      </c>
      <c r="I4" s="10">
        <v>0</v>
      </c>
      <c r="J4" s="14"/>
    </row>
    <row r="5" spans="1:10" x14ac:dyDescent="0.45">
      <c r="A5" s="2" t="s">
        <v>12</v>
      </c>
      <c r="B5" s="10">
        <f>0</f>
        <v>0</v>
      </c>
      <c r="C5" s="10">
        <f>1/2</f>
        <v>0.5</v>
      </c>
      <c r="D5" s="10">
        <f>-1/2</f>
        <v>-0.5</v>
      </c>
      <c r="H5" s="13"/>
      <c r="I5" s="10">
        <v>0</v>
      </c>
      <c r="J5" s="14"/>
    </row>
    <row r="6" spans="1:10" x14ac:dyDescent="0.45">
      <c r="B6" s="10">
        <f>-1</f>
        <v>-1</v>
      </c>
      <c r="C6" s="10">
        <f>0</f>
        <v>0</v>
      </c>
      <c r="D6" s="10">
        <f>-5/3</f>
        <v>-1.6666666666666667</v>
      </c>
      <c r="H6" s="13"/>
      <c r="I6" s="10">
        <v>0</v>
      </c>
      <c r="J6" s="14"/>
    </row>
    <row r="7" spans="1:10" x14ac:dyDescent="0.45">
      <c r="B7" s="10">
        <f>-1/3</f>
        <v>-0.33333333333333331</v>
      </c>
      <c r="C7" s="10">
        <f>-1/3</f>
        <v>-0.33333333333333331</v>
      </c>
      <c r="D7" s="10">
        <f>0</f>
        <v>0</v>
      </c>
      <c r="H7" s="13">
        <v>1</v>
      </c>
      <c r="I7" s="10">
        <f>INDEX(MMULT($B$5:$D$7,$I$4:$I$6),1,1)+$B$9</f>
        <v>-0.5</v>
      </c>
      <c r="J7" s="14">
        <f>SQRT((I7-I4)^2+(I8-I5)^2+(I9-I6)^2)</f>
        <v>1.4240006242195884</v>
      </c>
    </row>
    <row r="8" spans="1:10" x14ac:dyDescent="0.45">
      <c r="H8" s="13"/>
      <c r="I8" s="10">
        <f>INDEX(MMULT($B$5:$D$7,$I$4:$I$6),2,1)+$B$10</f>
        <v>1.3333333333333333</v>
      </c>
      <c r="J8" s="14"/>
    </row>
    <row r="9" spans="1:10" x14ac:dyDescent="0.45">
      <c r="A9" s="2" t="s">
        <v>26</v>
      </c>
      <c r="B9" s="10">
        <f>-1/2</f>
        <v>-0.5</v>
      </c>
      <c r="H9" s="13"/>
      <c r="I9" s="10">
        <f>INDEX(MMULT($B$5:$D$7,$I$4:$I$6),3,1)+$B$11</f>
        <v>0</v>
      </c>
      <c r="J9" s="14"/>
    </row>
    <row r="10" spans="1:10" x14ac:dyDescent="0.45">
      <c r="B10" s="10">
        <f>4/3</f>
        <v>1.3333333333333333</v>
      </c>
      <c r="H10" s="13">
        <v>2</v>
      </c>
      <c r="I10" s="10">
        <f>INDEX(MMULT($B$5:$D$7,$I$7:$I$9),1,1)+$B$9</f>
        <v>0.16666666666666663</v>
      </c>
      <c r="J10" s="14">
        <f>SQRT((I10-I7)^2+(I11-I8)^2+(I12-I9)^2)</f>
        <v>0.87841046115788313</v>
      </c>
    </row>
    <row r="11" spans="1:10" x14ac:dyDescent="0.45">
      <c r="B11" s="10">
        <f>0</f>
        <v>0</v>
      </c>
      <c r="H11" s="13"/>
      <c r="I11" s="10">
        <f>INDEX(MMULT($B$5:$D$7,$I$7:$I$9),2,1)+$B$10</f>
        <v>1.8333333333333333</v>
      </c>
      <c r="J11" s="14"/>
    </row>
    <row r="12" spans="1:10" x14ac:dyDescent="0.45">
      <c r="H12" s="13"/>
      <c r="I12" s="10">
        <f>INDEX(MMULT($B$5:$D$7,$I$7:$I$9),3,1)+$B$11</f>
        <v>-0.27777777777777779</v>
      </c>
      <c r="J12" s="14"/>
    </row>
    <row r="13" spans="1:10" x14ac:dyDescent="0.45">
      <c r="A13" s="1" t="s">
        <v>21</v>
      </c>
      <c r="B13" s="9">
        <v>1.9997795</v>
      </c>
      <c r="C13" s="1" t="str">
        <f>IF(B13&lt;1,"si","no")</f>
        <v>no</v>
      </c>
      <c r="H13" s="13">
        <v>3</v>
      </c>
      <c r="I13" s="10">
        <f>INDEX(MMULT($B$5:$D$7,$I$10:$I$12),1,1)+$B$9</f>
        <v>0.55555555555555558</v>
      </c>
      <c r="J13" s="14">
        <f>SQRT((I13-I10)^2+(I14-I11)^2+(I15-I12)^2)</f>
        <v>0.58648472674493013</v>
      </c>
    </row>
    <row r="14" spans="1:10" x14ac:dyDescent="0.45">
      <c r="A14" s="1" t="s">
        <v>13</v>
      </c>
      <c r="B14" s="9">
        <f>MAX(ABS(B5)+ABS(C5)+ABS(D5),ABS(B6)+ABS(C6)+ABS(D6),ABS(B7)+ABS(C7)+ABS(D7))</f>
        <v>2.666666666666667</v>
      </c>
      <c r="C14" s="1" t="str">
        <f>IF(B14&lt;1,"si","no")</f>
        <v>no</v>
      </c>
      <c r="H14" s="13"/>
      <c r="I14" s="10">
        <f>INDEX(MMULT($B$5:$D$7,$I$10:$I$12),2,1)+$B$10</f>
        <v>1.6296296296296298</v>
      </c>
      <c r="J14" s="14"/>
    </row>
    <row r="15" spans="1:10" x14ac:dyDescent="0.45">
      <c r="A15" s="1" t="s">
        <v>14</v>
      </c>
      <c r="B15" s="9">
        <f>MAX(ABS(B5)+ABS(B6)+ABS(B7),ABS(C5)+ABS(C6)+ABS(C7),ABS(D5)+ABS(D6)+ABS(D7))</f>
        <v>2.166666666666667</v>
      </c>
      <c r="C15" s="1" t="str">
        <f>IF(B15&lt;1,"si","no")</f>
        <v>no</v>
      </c>
      <c r="H15" s="13"/>
      <c r="I15" s="10">
        <f>INDEX(MMULT($B$5:$D$7,$I$10:$I$12),3,1)+$B$11</f>
        <v>-0.66666666666666663</v>
      </c>
      <c r="J15" s="14"/>
    </row>
    <row r="16" spans="1:10" x14ac:dyDescent="0.45">
      <c r="A16" s="1" t="s">
        <v>5</v>
      </c>
      <c r="B16" s="9">
        <v>0.63109999999999999</v>
      </c>
      <c r="C16" s="1" t="str">
        <f>IF(B16&lt;1,"si","no")</f>
        <v>si</v>
      </c>
      <c r="H16" s="13">
        <v>4</v>
      </c>
      <c r="I16" s="10">
        <f>INDEX(MMULT($B$5:$D$7,$I$13:$I$15),1,1)+$B$9</f>
        <v>0.64814814814814814</v>
      </c>
      <c r="J16" s="14">
        <f>SQRT((I16-I13)^2+(I17-I14)^2+(I18-I15)^2)</f>
        <v>0.2821332069636156</v>
      </c>
    </row>
    <row r="17" spans="1:10" x14ac:dyDescent="0.45">
      <c r="A17" s="1" t="s">
        <v>15</v>
      </c>
      <c r="B17" s="1" t="str">
        <f>IF(OR(B13&lt;1,B14&lt;1,B15&lt;1,B16&lt;1),"si","no")</f>
        <v>si</v>
      </c>
      <c r="H17" s="13"/>
      <c r="I17" s="10">
        <f>INDEX(MMULT($B$5:$D$7,$I$13:$I$15),2,1)+$B$10</f>
        <v>1.8888888888888888</v>
      </c>
      <c r="J17" s="14"/>
    </row>
    <row r="18" spans="1:10" x14ac:dyDescent="0.45">
      <c r="H18" s="13"/>
      <c r="I18" s="10">
        <f>INDEX(MMULT($B$5:$D$7,$I$13:$I$15),3,1)+$B$11</f>
        <v>-0.72839506172839497</v>
      </c>
      <c r="J18" s="14"/>
    </row>
    <row r="19" spans="1:10" x14ac:dyDescent="0.45">
      <c r="A19" s="1" t="s">
        <v>22</v>
      </c>
      <c r="H19" s="13">
        <v>5</v>
      </c>
      <c r="I19" s="10">
        <f>INDEX(MMULT($B$5:$D$7,$I$16:$I$18),1,1)+$B$9</f>
        <v>0.80864197530864201</v>
      </c>
      <c r="J19" s="14">
        <f>SQRT((I19-I16)^2+(I20-I17)^2+(I21-I18)^2)</f>
        <v>0.19904682345574537</v>
      </c>
    </row>
    <row r="20" spans="1:10" x14ac:dyDescent="0.45">
      <c r="H20" s="13"/>
      <c r="I20" s="10">
        <f>INDEX(MMULT($B$5:$D$7,$I$16:$I$18),2,1)+$B$10</f>
        <v>1.8991769547325101</v>
      </c>
      <c r="J20" s="14"/>
    </row>
    <row r="21" spans="1:10" x14ac:dyDescent="0.45">
      <c r="A21" s="2" t="s">
        <v>33</v>
      </c>
      <c r="H21" s="13"/>
      <c r="I21" s="10">
        <f>INDEX(MMULT($B$5:$D$7,$I$16:$I$18),3,1)+$B$11</f>
        <v>-0.84567901234567888</v>
      </c>
      <c r="J21" s="14"/>
    </row>
    <row r="22" spans="1:10" x14ac:dyDescent="0.45">
      <c r="A22" s="1" t="s">
        <v>12</v>
      </c>
      <c r="H22" s="13">
        <v>6</v>
      </c>
      <c r="I22" s="10">
        <f>INDEX(MMULT($B$5:$D$7,$I$19:$I$21),1,1)+$B$9</f>
        <v>0.87242798353909445</v>
      </c>
      <c r="J22" s="14">
        <f>SQRT((I22-I19)^2+(I23-I20)^2+(I24-I21)^2)</f>
        <v>9.237387163002253E-2</v>
      </c>
    </row>
    <row r="23" spans="1:10" x14ac:dyDescent="0.45">
      <c r="H23" s="13"/>
      <c r="I23" s="10">
        <f>INDEX(MMULT($B$5:$D$7,$I$19:$I$21),2,1)+$B$10</f>
        <v>1.9341563786008227</v>
      </c>
      <c r="J23" s="14"/>
    </row>
    <row r="24" spans="1:10" x14ac:dyDescent="0.45">
      <c r="H24" s="13"/>
      <c r="I24" s="10">
        <f>INDEX(MMULT($B$5:$D$7,$I$19:$I$21),3,1)+$B$11</f>
        <v>-0.90260631001371738</v>
      </c>
      <c r="J24" s="14"/>
    </row>
    <row r="25" spans="1:10" x14ac:dyDescent="0.45">
      <c r="H25" s="13">
        <v>7</v>
      </c>
      <c r="I25" s="10">
        <f>INDEX(MMULT($B$5:$D$7,$I$22:$I$24),1,1)+$B$9</f>
        <v>0.91838134430726992</v>
      </c>
      <c r="J25" s="14">
        <f>SQRT((I25-I22)^2+(I26-I23)^2+(I27-I24)^2)</f>
        <v>6.4516048521411087E-2</v>
      </c>
    </row>
    <row r="26" spans="1:10" x14ac:dyDescent="0.45">
      <c r="H26" s="13"/>
      <c r="I26" s="10">
        <f>INDEX(MMULT($B$5:$D$7,$I$22:$I$24),2,1)+$B$10</f>
        <v>1.9652491998171011</v>
      </c>
      <c r="J26" s="14"/>
    </row>
    <row r="27" spans="1:10" ht="131.65" customHeight="1" x14ac:dyDescent="0.45">
      <c r="H27" s="13"/>
      <c r="I27" s="10">
        <f>INDEX(MMULT($B$5:$D$7,$I$22:$I$24),3,1)+$B$11</f>
        <v>-0.93552812071330571</v>
      </c>
      <c r="J27" s="14"/>
    </row>
    <row r="28" spans="1:10" x14ac:dyDescent="0.45">
      <c r="A28" s="1" t="s">
        <v>16</v>
      </c>
      <c r="H28" s="13">
        <v>8</v>
      </c>
      <c r="I28" s="10">
        <f>INDEX(MMULT($B$5:$D$7,$I$25:$I$27),1,1)+$B$9</f>
        <v>0.95038866026520341</v>
      </c>
      <c r="J28" s="14">
        <f>SQRT((I28-I25)^2+(I29-I26)^2+(I30-I27)^2)</f>
        <v>4.1994491823685899E-2</v>
      </c>
    </row>
    <row r="29" spans="1:10" x14ac:dyDescent="0.45">
      <c r="H29" s="13"/>
      <c r="I29" s="10">
        <f>INDEX(MMULT($B$5:$D$7,$I$25:$I$27),2,1)+$B$10</f>
        <v>1.9741655235482396</v>
      </c>
      <c r="J29" s="14"/>
    </row>
    <row r="30" spans="1:10" ht="48" customHeight="1" x14ac:dyDescent="0.45">
      <c r="H30" s="13"/>
      <c r="I30" s="10">
        <f>INDEX(MMULT($B$5:$D$7,$I$25:$I$27),3,1)+$B$11</f>
        <v>-0.96121018137479031</v>
      </c>
      <c r="J30" s="14"/>
    </row>
    <row r="31" spans="1:10" x14ac:dyDescent="0.45">
      <c r="H31" s="13">
        <v>9</v>
      </c>
      <c r="I31" s="10">
        <f>INDEX(MMULT($B$5:$D$7,$I$28:$I$30),1,1)+$B$9</f>
        <v>0.9676878524615149</v>
      </c>
      <c r="J31" s="14">
        <f>SQRT((I31-I28)^2+(I32-I29)^2+(I33-I30)^2)</f>
        <v>2.453366917546394E-2</v>
      </c>
    </row>
    <row r="32" spans="1:10" x14ac:dyDescent="0.45">
      <c r="H32" s="13"/>
      <c r="I32" s="10">
        <f>INDEX(MMULT($B$5:$D$7,$I$28:$I$30),2,1)+$B$10</f>
        <v>1.9849616420261138</v>
      </c>
      <c r="J32" s="14"/>
    </row>
    <row r="33" spans="8:10" x14ac:dyDescent="0.45">
      <c r="H33" s="13"/>
      <c r="I33" s="10">
        <f>INDEX(MMULT($B$5:$D$7,$I$28:$I$30),3,1)+$B$11</f>
        <v>-0.974851394604481</v>
      </c>
      <c r="J33" s="14"/>
    </row>
    <row r="34" spans="8:10" ht="112.5" customHeight="1" x14ac:dyDescent="0.45">
      <c r="H34" s="13">
        <v>10</v>
      </c>
      <c r="I34" s="10">
        <f>INDEX(MMULT($B$5:$D$7,$I$31:$I$33),1,1)+$B$9</f>
        <v>0.97990651831529751</v>
      </c>
      <c r="J34" s="14">
        <f>SQRT((I34-I31)^2+(I35-I32)^2+(I36-I33)^2)</f>
        <v>1.6326445727406276E-2</v>
      </c>
    </row>
    <row r="35" spans="8:10" x14ac:dyDescent="0.45">
      <c r="H35" s="13"/>
      <c r="I35" s="10">
        <f>INDEX(MMULT($B$5:$D$7,$I$31:$I$33),2,1)+$B$10</f>
        <v>1.9903978052126201</v>
      </c>
      <c r="J35" s="14"/>
    </row>
    <row r="36" spans="8:10" x14ac:dyDescent="0.45">
      <c r="H36" s="13"/>
      <c r="I36" s="10">
        <f>INDEX(MMULT($B$5:$D$7,$I$31:$I$33),3,1)+$B$11</f>
        <v>-0.98421649816254286</v>
      </c>
      <c r="J36" s="14"/>
    </row>
    <row r="37" spans="8:10" x14ac:dyDescent="0.45">
      <c r="H37" s="13">
        <v>11</v>
      </c>
      <c r="I37" s="10">
        <f>INDEX(MMULT($B$5:$D$7,$I$34:$I$36),1,1)+$B$9</f>
        <v>0.98730715168758154</v>
      </c>
      <c r="J37" s="14">
        <f>SQRT((I37-I34)^2+(I38-I35)^2+(I39-I36)^2)</f>
        <v>1.0044547990094254E-2</v>
      </c>
    </row>
    <row r="38" spans="8:10" x14ac:dyDescent="0.45">
      <c r="H38" s="13"/>
      <c r="I38" s="10">
        <f>INDEX(MMULT($B$5:$D$7,$I$34:$I$36),2,1)+$B$10</f>
        <v>1.9937876452889405</v>
      </c>
      <c r="J38" s="14"/>
    </row>
    <row r="39" spans="8:10" x14ac:dyDescent="0.45">
      <c r="H39" s="13"/>
      <c r="I39" s="10">
        <f>INDEX(MMULT($B$5:$D$7,$I$34:$I$36),3,1)+$B$11</f>
        <v>-0.99010144117597254</v>
      </c>
      <c r="J39" s="14"/>
    </row>
    <row r="40" spans="8:10" x14ac:dyDescent="0.45">
      <c r="H40" s="13">
        <v>12</v>
      </c>
      <c r="I40" s="10">
        <f>INDEX(MMULT($B$5:$D$7,$I$37:$I$39),1,1)+$B$9</f>
        <v>0.99194454323245651</v>
      </c>
      <c r="J40" s="14">
        <f>SQRT((I40-I37)^2+(I41-I38)^2+(I42-I39)^2)</f>
        <v>6.343430338333152E-3</v>
      </c>
    </row>
    <row r="41" spans="8:10" x14ac:dyDescent="0.45">
      <c r="H41" s="13"/>
      <c r="I41" s="10">
        <f>INDEX(MMULT($B$5:$D$7,$I$37:$I$39),2,1)+$B$10</f>
        <v>1.9961952502723728</v>
      </c>
      <c r="J41" s="14"/>
    </row>
    <row r="42" spans="8:10" ht="200" customHeight="1" x14ac:dyDescent="0.45">
      <c r="H42" s="13"/>
      <c r="I42" s="10">
        <f>INDEX(MMULT($B$5:$D$7,$I$37:$I$39),3,1)+$B$11</f>
        <v>-0.99369826565884067</v>
      </c>
      <c r="J42" s="14"/>
    </row>
    <row r="43" spans="8:10" x14ac:dyDescent="0.45">
      <c r="H43" s="13">
        <v>13</v>
      </c>
      <c r="I43" s="10">
        <f>INDEX(MMULT($B$5:$D$7,$I$40:$I$42),1,1)+$B$9</f>
        <v>0.99494675796560683</v>
      </c>
      <c r="J43" s="14">
        <f>SQRT((I43-I40)^2+(I44-I41)^2+(I45-I42)^2)</f>
        <v>4.0460182695816341E-3</v>
      </c>
    </row>
    <row r="44" spans="8:10" x14ac:dyDescent="0.45">
      <c r="H44" s="13"/>
      <c r="I44" s="10">
        <f>INDEX(MMULT($B$5:$D$7,$I$40:$I$42),2,1)+$B$10</f>
        <v>1.9975525661989446</v>
      </c>
      <c r="J44" s="14"/>
    </row>
    <row r="45" spans="8:10" x14ac:dyDescent="0.45">
      <c r="H45" s="13"/>
      <c r="I45" s="10">
        <f>INDEX(MMULT($B$5:$D$7,$I$40:$I$42),3,1)+$B$11</f>
        <v>-0.99604659783494309</v>
      </c>
      <c r="J45" s="14"/>
    </row>
    <row r="46" spans="8:10" x14ac:dyDescent="0.45">
      <c r="H46" s="13">
        <v>14</v>
      </c>
      <c r="I46" s="10">
        <f>INDEX(MMULT($B$5:$D$7,$I$43:$I$45),1,1)+$B$9</f>
        <v>0.99679958201694374</v>
      </c>
      <c r="J46" s="14">
        <f>SQRT((I46-I43)^2+(I47-I44)^2+(I48-I45)^2)</f>
        <v>2.5250398567954651E-3</v>
      </c>
    </row>
    <row r="47" spans="8:10" x14ac:dyDescent="0.45">
      <c r="H47" s="13"/>
      <c r="I47" s="10">
        <f>INDEX(MMULT($B$5:$D$7,$I$43:$I$45),2,1)+$B$10</f>
        <v>1.998464238425965</v>
      </c>
      <c r="J47" s="14"/>
    </row>
    <row r="48" spans="8:10" x14ac:dyDescent="0.45">
      <c r="H48" s="13"/>
      <c r="I48" s="10">
        <f>INDEX(MMULT($B$5:$D$7,$I$43:$I$45),3,1)+$B$11</f>
        <v>-0.99749977472151707</v>
      </c>
      <c r="J48" s="14"/>
    </row>
    <row r="49" spans="1:11" ht="146.25" customHeight="1" x14ac:dyDescent="0.45">
      <c r="H49" s="13">
        <v>15</v>
      </c>
      <c r="I49" s="10">
        <f>INDEX(MMULT($B$5:$D$7,$I$46:$I$48),1,1)+$B$9</f>
        <v>0.99798200657374103</v>
      </c>
      <c r="J49" s="14">
        <f>SQRT((I49-I46)^2+(I50-I47)^2+(I51-I48)^2)</f>
        <v>1.6034978036123407E-3</v>
      </c>
    </row>
    <row r="50" spans="1:11" x14ac:dyDescent="0.45">
      <c r="A50" s="1" t="s">
        <v>30</v>
      </c>
      <c r="H50" s="13"/>
      <c r="I50" s="10">
        <f>INDEX(MMULT($B$5:$D$7,$I$46:$I$48),2,1)+$B$10</f>
        <v>1.9990333758522514</v>
      </c>
      <c r="J50" s="14"/>
    </row>
    <row r="51" spans="1:11" x14ac:dyDescent="0.45">
      <c r="H51" s="13"/>
      <c r="I51" s="10">
        <f>INDEX(MMULT($B$5:$D$7,$I$46:$I$48),3,1)+$B$11</f>
        <v>-0.99842127348096954</v>
      </c>
      <c r="J51" s="14"/>
    </row>
    <row r="52" spans="1:11" x14ac:dyDescent="0.45">
      <c r="H52" s="13">
        <v>16</v>
      </c>
      <c r="I52" s="10">
        <f>INDEX(MMULT($B$5:$D$7,$I$49:$I$51),1,1)+$B$9</f>
        <v>0.99872732466661041</v>
      </c>
      <c r="J52" s="14">
        <f>SQRT((I52-I49)^2+(I53-I50)^2+(I54-I51)^2)</f>
        <v>1.0105844092532126E-3</v>
      </c>
    </row>
    <row r="53" spans="1:11" x14ac:dyDescent="0.45">
      <c r="H53" s="13"/>
      <c r="I53" s="10">
        <f>INDEX(MMULT($B$5:$D$7,$I$49:$I$51),2,1)+$B$10</f>
        <v>1.9993867825612082</v>
      </c>
      <c r="J53" s="14"/>
    </row>
    <row r="54" spans="1:11" x14ac:dyDescent="0.45">
      <c r="H54" s="13"/>
      <c r="I54" s="10">
        <f>INDEX(MMULT($B$5:$D$7,$I$49:$I$51),3,1)+$B$11</f>
        <v>-0.99900512747533077</v>
      </c>
      <c r="J54" s="14"/>
    </row>
    <row r="55" spans="1:11" x14ac:dyDescent="0.45">
      <c r="H55" s="1" t="s">
        <v>27</v>
      </c>
      <c r="I55" s="9">
        <f>MAX(ABS(I52-I49),ABS(I53-I50),ABS(I54-I51))</f>
        <v>7.4531809286937367E-4</v>
      </c>
    </row>
    <row r="56" spans="1:11" ht="40.5" customHeight="1" x14ac:dyDescent="0.45">
      <c r="H56" s="1" t="s">
        <v>28</v>
      </c>
      <c r="I56" s="1" t="s">
        <v>32</v>
      </c>
    </row>
    <row r="57" spans="1:11" ht="36" customHeight="1" x14ac:dyDescent="0.45">
      <c r="H57" s="1" t="s">
        <v>2</v>
      </c>
      <c r="I57" s="15" t="s">
        <v>29</v>
      </c>
      <c r="J57" s="15"/>
      <c r="K57" s="15"/>
    </row>
    <row r="61" spans="1:11" ht="91.9" customHeight="1" x14ac:dyDescent="0.45"/>
    <row r="64" spans="1:11" ht="280.05" customHeight="1" x14ac:dyDescent="0.45"/>
    <row r="77" ht="27" customHeight="1" x14ac:dyDescent="0.45"/>
    <row r="93" ht="240" customHeight="1" x14ac:dyDescent="0.45"/>
    <row r="109" ht="240" customHeight="1" x14ac:dyDescent="0.45"/>
    <row r="125" ht="240" customHeight="1" x14ac:dyDescent="0.45"/>
    <row r="141" spans="1:1" ht="30" customHeight="1" x14ac:dyDescent="0.45"/>
    <row r="142" spans="1:1" x14ac:dyDescent="0.45">
      <c r="A142" s="1" t="s">
        <v>31</v>
      </c>
    </row>
    <row r="157" ht="187.5" customHeight="1" x14ac:dyDescent="0.45"/>
    <row r="173" ht="17.25" customHeight="1" x14ac:dyDescent="0.45"/>
    <row r="189" ht="240" customHeight="1" x14ac:dyDescent="0.45"/>
  </sheetData>
  <mergeCells count="35">
    <mergeCell ref="H49:H51"/>
    <mergeCell ref="J49:J51"/>
    <mergeCell ref="H52:H54"/>
    <mergeCell ref="J52:J54"/>
    <mergeCell ref="I57:K57"/>
    <mergeCell ref="H40:H42"/>
    <mergeCell ref="J40:J42"/>
    <mergeCell ref="H43:H45"/>
    <mergeCell ref="J43:J45"/>
    <mergeCell ref="H46:H48"/>
    <mergeCell ref="J46:J48"/>
    <mergeCell ref="H31:H33"/>
    <mergeCell ref="J31:J33"/>
    <mergeCell ref="H34:H36"/>
    <mergeCell ref="J34:J36"/>
    <mergeCell ref="H37:H39"/>
    <mergeCell ref="J37:J39"/>
    <mergeCell ref="H22:H24"/>
    <mergeCell ref="J22:J24"/>
    <mergeCell ref="H25:H27"/>
    <mergeCell ref="J25:J27"/>
    <mergeCell ref="H28:H30"/>
    <mergeCell ref="J28:J30"/>
    <mergeCell ref="H13:H15"/>
    <mergeCell ref="J13:J15"/>
    <mergeCell ref="H16:H18"/>
    <mergeCell ref="J16:J18"/>
    <mergeCell ref="H19:H21"/>
    <mergeCell ref="J19:J21"/>
    <mergeCell ref="H4:H6"/>
    <mergeCell ref="J4:J6"/>
    <mergeCell ref="H7:H9"/>
    <mergeCell ref="J7:J9"/>
    <mergeCell ref="H10:H12"/>
    <mergeCell ref="J10:J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normas</vt:lpstr>
      <vt:lpstr>condicional</vt:lpstr>
      <vt:lpstr>Jacobi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YASEN CUTIPA MAYHUA</dc:creator>
  <cp:lastModifiedBy>YASEN CUTIPA MAYHUA</cp:lastModifiedBy>
  <dcterms:created xsi:type="dcterms:W3CDTF">2026-09-21T13:09:35Z</dcterms:created>
  <dcterms:modified xsi:type="dcterms:W3CDTF">2026-09-21T14:04:05Z</dcterms:modified>
</cp:coreProperties>
</file>