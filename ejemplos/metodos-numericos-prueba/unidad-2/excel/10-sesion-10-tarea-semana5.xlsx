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EA99A4E0-BAE9-4850-9F0E-BA2BC2B39B04}" xr6:coauthVersionLast="47" xr6:coauthVersionMax="47" xr10:uidLastSave="{00000000-0000-0000-0000-000000000000}"/>
  <bookViews>
    <workbookView xWindow="36795" yWindow="1515" windowWidth="14895" windowHeight="15105" activeTab="2" xr2:uid="{3A44C4FC-912E-4F92-B731-9C97E437C2C8}"/>
  </bookViews>
  <sheets>
    <sheet name="ejercicio 1" sheetId="3" r:id="rId1"/>
    <sheet name="ejercicio4.2" sheetId="4" r:id="rId2"/>
    <sheet name="ejercicio4.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7" i="5" l="1"/>
  <c r="B55" i="5"/>
  <c r="B54" i="5"/>
  <c r="B53" i="5"/>
  <c r="B52" i="5"/>
  <c r="J46" i="5"/>
  <c r="H47" i="5"/>
  <c r="H46" i="5"/>
  <c r="F48" i="5"/>
  <c r="F47" i="5"/>
  <c r="F46" i="5"/>
  <c r="D49" i="5"/>
  <c r="B49" i="5"/>
  <c r="A49" i="5"/>
  <c r="D48" i="5"/>
  <c r="B48" i="5"/>
  <c r="A48" i="5"/>
  <c r="D47" i="5"/>
  <c r="B47" i="5"/>
  <c r="A47" i="5"/>
  <c r="D46" i="5"/>
  <c r="B46" i="5"/>
  <c r="A46" i="5"/>
  <c r="B41" i="5"/>
  <c r="B37" i="5"/>
  <c r="B35" i="5"/>
  <c r="B34" i="5"/>
  <c r="B33" i="5"/>
  <c r="B32" i="5"/>
  <c r="B31" i="5"/>
  <c r="B50" i="4"/>
  <c r="B49" i="4"/>
  <c r="B48" i="4"/>
  <c r="B47" i="4"/>
  <c r="B46" i="4"/>
  <c r="B37" i="4"/>
  <c r="B36" i="4"/>
  <c r="B35" i="4"/>
  <c r="B34" i="4"/>
  <c r="B33" i="4"/>
  <c r="D32" i="4"/>
  <c r="B32" i="4"/>
  <c r="D31" i="4"/>
  <c r="B31" i="4"/>
  <c r="D30" i="4"/>
  <c r="B30" i="4"/>
  <c r="B27" i="4"/>
  <c r="B23" i="4"/>
  <c r="J14" i="4"/>
  <c r="H15" i="4"/>
  <c r="H14" i="4"/>
  <c r="F16" i="4"/>
  <c r="F15" i="4"/>
  <c r="F14" i="4"/>
  <c r="D17" i="4"/>
  <c r="B17" i="4"/>
  <c r="A17" i="4"/>
  <c r="D16" i="4"/>
  <c r="B16" i="4"/>
  <c r="A16" i="4"/>
  <c r="D15" i="4"/>
  <c r="B15" i="4"/>
  <c r="A15" i="4"/>
  <c r="D14" i="4"/>
  <c r="B14" i="4"/>
  <c r="A14" i="4"/>
  <c r="B25" i="3"/>
  <c r="B23" i="3"/>
  <c r="B21" i="3"/>
  <c r="B17" i="3"/>
  <c r="B16" i="3"/>
  <c r="B15" i="3"/>
  <c r="B14" i="3"/>
  <c r="L5" i="3"/>
  <c r="J6" i="3"/>
  <c r="J5" i="3"/>
  <c r="H7" i="3"/>
  <c r="H6" i="3"/>
  <c r="H5" i="3"/>
  <c r="F8" i="3"/>
  <c r="F7" i="3"/>
  <c r="F6" i="3"/>
  <c r="F5" i="3"/>
</calcChain>
</file>

<file path=xl/sharedStrings.xml><?xml version="1.0" encoding="utf-8"?>
<sst xmlns="http://schemas.openxmlformats.org/spreadsheetml/2006/main" count="153" uniqueCount="90">
  <si>
    <t>Nodos</t>
  </si>
  <si>
    <t>x=</t>
  </si>
  <si>
    <t>x0</t>
  </si>
  <si>
    <t>y0</t>
  </si>
  <si>
    <t>x1</t>
  </si>
  <si>
    <t>y1</t>
  </si>
  <si>
    <t>x2</t>
  </si>
  <si>
    <t>y2</t>
  </si>
  <si>
    <t xml:space="preserve">Evidencias Octave </t>
  </si>
  <si>
    <t>Ejemplo</t>
  </si>
  <si>
    <t>Diferencias 0</t>
  </si>
  <si>
    <t>Diferencias 1</t>
  </si>
  <si>
    <t>Diferencias 2</t>
  </si>
  <si>
    <t>Diferencias 3</t>
  </si>
  <si>
    <t>Diferencias 4</t>
  </si>
  <si>
    <t>k</t>
  </si>
  <si>
    <t>xk</t>
  </si>
  <si>
    <t>f[xk]=</t>
  </si>
  <si>
    <t>f(xk)</t>
  </si>
  <si>
    <t>f[xk,xk+1]</t>
  </si>
  <si>
    <t>f[xk,xk+1,xk+2]</t>
  </si>
  <si>
    <t>f[xk,...,xk+3]</t>
  </si>
  <si>
    <t>f[x0,...,x4]</t>
  </si>
  <si>
    <t>f[x0]</t>
  </si>
  <si>
    <t>f[x1]</t>
  </si>
  <si>
    <t>f[x2]</t>
  </si>
  <si>
    <t>f[x3]</t>
  </si>
  <si>
    <t>f[x4]</t>
  </si>
  <si>
    <t>f[x0,x1]</t>
  </si>
  <si>
    <t>f[x1,x2]</t>
  </si>
  <si>
    <t>f[x2,x3]</t>
  </si>
  <si>
    <t>f[x3,x4]</t>
  </si>
  <si>
    <t>f[x0,x1,x2]</t>
  </si>
  <si>
    <t>f[x1,x2,x3]</t>
  </si>
  <si>
    <t>f[x2,x3,x4]</t>
  </si>
  <si>
    <t>f[x0,x1,x2,x3]</t>
  </si>
  <si>
    <t>f[x1,x2,x3,x4]</t>
  </si>
  <si>
    <t>f[x0,x1,x2,x3,x4]</t>
  </si>
  <si>
    <t>b0 = f[x0]</t>
  </si>
  <si>
    <t>b1 = f[x0,x1]</t>
  </si>
  <si>
    <t>b2 = f[x0,x1,x2]</t>
  </si>
  <si>
    <t>b3 = f[x0,x1,x2,x3]</t>
  </si>
  <si>
    <t>Nodos mas apropiados: 2.1 esta cerca de x0=2.0 -&gt; progresiva</t>
  </si>
  <si>
    <t>Grado 1: x0=2.0 y x1=2.2</t>
  </si>
  <si>
    <t>P1(2.1)=</t>
  </si>
  <si>
    <t>Grado 2: 2.0, 2.2, 2.4</t>
  </si>
  <si>
    <t>P2(2.1)=</t>
  </si>
  <si>
    <t>Grado 3: 2.0, 2.2, 2.4, 2.6</t>
  </si>
  <si>
    <t>P3(2.1)=</t>
  </si>
  <si>
    <t>La ultima de cada columna no se agrupa: no tiene con quien.</t>
  </si>
  <si>
    <t>x , f</t>
  </si>
  <si>
    <t>d1 , P1</t>
  </si>
  <si>
    <t>f(x)=e^x</t>
  </si>
  <si>
    <t>Diferencias divididas</t>
  </si>
  <si>
    <t>f[x0,...,x3]</t>
  </si>
  <si>
    <t>a) f(0.25) lineal, x0=0 y x1=0.5</t>
  </si>
  <si>
    <t>P1(0.25)=</t>
  </si>
  <si>
    <t>b) f(0.75) lineal, x0=0.5 y x1=1.0</t>
  </si>
  <si>
    <t>P1(0.75)=</t>
  </si>
  <si>
    <t>c) grado &lt;=2 con x0=0, x1=1.0, x2=2.0</t>
  </si>
  <si>
    <t>b0=</t>
  </si>
  <si>
    <t>b1=</t>
  </si>
  <si>
    <t>b2=</t>
  </si>
  <si>
    <t>P2(0.25)=</t>
  </si>
  <si>
    <t>P2(0.75)=</t>
  </si>
  <si>
    <t>d) Cual es mejor?</t>
  </si>
  <si>
    <t>Mejor: las lineales a) y b). Los nodos 0 y 0.5 rodean a 0.25, y 0.5 y 1 rodean a 0.75. En c) se usan 0, 1 y 2 (intervalo mas ancho y se salta x=0.5), por eso P2 queda mas lejos.</t>
  </si>
  <si>
    <t>e) Newton grado &lt;=3, todos los datos, f(0.25)</t>
  </si>
  <si>
    <t>0.25 cerca de x0=0 -&gt; progresiva</t>
  </si>
  <si>
    <t>b3=</t>
  </si>
  <si>
    <t>P3(0.25)=</t>
  </si>
  <si>
    <t>Evidencia</t>
  </si>
  <si>
    <t>a) Lagrange de grado 3 con los datos dados</t>
  </si>
  <si>
    <t>L0</t>
  </si>
  <si>
    <t>L1</t>
  </si>
  <si>
    <t>L2</t>
  </si>
  <si>
    <t>L3</t>
  </si>
  <si>
    <t>suma L</t>
  </si>
  <si>
    <t>P3(0.34)=</t>
  </si>
  <si>
    <t>b) Newton mas apropiado de grado &lt;= 3</t>
  </si>
  <si>
    <t>0.34 esta mas cerca de 0.35 que de 0.30. Regresiva.</t>
  </si>
  <si>
    <t>Regresiva: pesa f[x3] y las diferencias que terminan en x3.</t>
  </si>
  <si>
    <t>b0</t>
  </si>
  <si>
    <t>b1</t>
  </si>
  <si>
    <t>b2</t>
  </si>
  <si>
    <t>b3</t>
  </si>
  <si>
    <t>Lagrange y Newton dan el mismo valor: pasan por los cuatro nodos.</t>
  </si>
  <si>
    <t>Lagrange</t>
  </si>
  <si>
    <t>Newton</t>
  </si>
  <si>
    <t>P(x)=f[x3]+f[x2,x3](x-x3)+f[x1,x2,x3](x-x3)(x-x2)+f[x0,x1,x2,x3](x-x3)(x-x2)(x-x1)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</si>
</sst>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"/>
    <numFmt numFmtId="166" formatCode="0.000000"/>
    <numFmt numFmtId="167" formatCode="0.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5" fontId="1" fillId="2" borderId="0" xfId="0" applyNumberFormat="1" applyFont="1" applyFill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6" fontId="1" fillId="0" borderId="1" xfId="0" applyNumberFormat="1" applyFont="1" applyBorder="1"/>
    <xf numFmtId="16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2" borderId="0" xfId="0" applyNumberFormat="1" applyFont="1" applyFill="1" applyAlignment="1">
      <alignment horizontal="center"/>
    </xf>
    <xf numFmtId="0" fontId="4" fillId="0" borderId="0" xfId="0" applyFont="1"/>
    <xf numFmtId="0" fontId="3" fillId="0" borderId="0" xfId="0" applyFont="1"/>
    <xf numFmtId="166" fontId="1" fillId="0" borderId="0" xfId="0" applyNumberFormat="1" applyFont="1"/>
    <xf numFmtId="2" fontId="1" fillId="2" borderId="0" xfId="0" applyNumberFormat="1" applyFont="1" applyFill="1"/>
    <xf numFmtId="166" fontId="1" fillId="2" borderId="0" xfId="0" applyNumberFormat="1" applyFont="1" applyFill="1"/>
    <xf numFmtId="165" fontId="1" fillId="0" borderId="1" xfId="0" applyNumberFormat="1" applyFont="1" applyBorder="1"/>
    <xf numFmtId="0" fontId="2" fillId="2" borderId="0" xfId="0" applyFont="1" applyFill="1"/>
    <xf numFmtId="2" fontId="2" fillId="2" borderId="0" xfId="0" applyNumberFormat="1" applyFont="1" applyFill="1"/>
    <xf numFmtId="0" fontId="1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/>
    <xf numFmtId="0" fontId="2" fillId="0" borderId="8" xfId="0" applyFont="1" applyBorder="1" applyAlignment="1">
      <alignment horizontal="center"/>
    </xf>
    <xf numFmtId="166" fontId="2" fillId="2" borderId="0" xfId="0" applyNumberFormat="1" applyFont="1" applyFill="1"/>
    <xf numFmtId="0" fontId="1" fillId="0" borderId="3" xfId="0" applyFont="1" applyBorder="1"/>
    <xf numFmtId="0" fontId="2" fillId="2" borderId="5" xfId="0" applyFont="1" applyFill="1" applyBorder="1"/>
    <xf numFmtId="166" fontId="2" fillId="2" borderId="11" xfId="0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1" fillId="0" borderId="2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309820</xdr:colOff>
      <xdr:row>10</xdr:row>
      <xdr:rowOff>72208</xdr:rowOff>
    </xdr:from>
    <xdr:to>
      <xdr:col>7</xdr:col>
      <xdr:colOff>1016857</xdr:colOff>
      <xdr:row>27</xdr:row>
      <xdr:rowOff>141587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BFB0C-4C47-CE31-AADF-F805DA46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9820" y="1874235"/>
          <a:ext cx="6228963" cy="3132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1118718</xdr:colOff>
      <xdr:row>51</xdr:row>
      <xdr:rowOff>176353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E62A8B-1E0D-1E83-A653-95610904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29250"/>
          <a:ext cx="6858000" cy="3976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1118718</xdr:colOff>
      <xdr:row>71</xdr:row>
      <xdr:rowOff>48076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BB5B92-4B87-0BFB-4A11-CE4C8F424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72650"/>
          <a:ext cx="6858000" cy="3124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4</xdr:col>
      <xdr:colOff>1114425</xdr:colOff>
      <xdr:row>73</xdr:row>
      <xdr:rowOff>20121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0987BF-0C5D-6852-C16C-1AB6C8B12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44125"/>
          <a:ext cx="6858000" cy="3458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180974</xdr:rowOff>
    </xdr:from>
    <xdr:to>
      <xdr:col>5</xdr:col>
      <xdr:colOff>944562</xdr:colOff>
      <xdr:row>90</xdr:row>
      <xdr:rowOff>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D6D9BD-A037-4A6D-8E3E-423AE86F7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44599"/>
          <a:ext cx="7874000" cy="2779726"/>
        </a:xfrm>
        <a:prstGeom prst="rect">
          <a:avLst/>
        </a:prstGeom>
      </xdr:spPr>
    </xdr:pic>
    <xdr:clientData/>
  </xdr:twoCellAnchor>
  <xdr:twoCellAnchor editAs="oneCell">
    <xdr:from>
      <xdr:col>0</xdr:col>
      <xdr:colOff>1717623</xdr:colOff>
      <xdr:row>0</xdr:row>
      <xdr:rowOff>39037</xdr:rowOff>
    </xdr:from>
    <xdr:to>
      <xdr:col>6</xdr:col>
      <xdr:colOff>1315310</xdr:colOff>
      <xdr:row>2</xdr:row>
      <xdr:rowOff>134300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66C8CE-C01B-4076-BC91-6DA2328C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7623" y="39037"/>
          <a:ext cx="7584635" cy="23047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484187</xdr:colOff>
      <xdr:row>18</xdr:row>
      <xdr:rowOff>86451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A27D6-B79A-A547-3191-C70FC47E0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28000" cy="334400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5</xdr:col>
      <xdr:colOff>484187</xdr:colOff>
      <xdr:row>104</xdr:row>
      <xdr:rowOff>146615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3E045E-0236-BD70-28FA-DB1613166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34725"/>
          <a:ext cx="8128000" cy="792854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107</xdr:row>
      <xdr:rowOff>0</xdr:rowOff>
    </xdr:from>
    <xdr:to>
      <xdr:col>6</xdr:col>
      <xdr:colOff>60325</xdr:colOff>
      <xdr:row>136</xdr:row>
      <xdr:rowOff>151173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499B68-C05C-249E-C07F-F06C5CC5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459575"/>
          <a:ext cx="8890000" cy="5399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5269-C896-4763-A576-85E7E6C2BBA5}">
  <dimension ref="A1:L54"/>
  <sheetViews>
    <sheetView zoomScale="74" workbookViewId="0">
      <selection activeCell="I51" sqref="I51"/>
    </sheetView>
  </sheetViews>
  <sheetFormatPr defaultColWidth="9" defaultRowHeight="15" x14ac:dyDescent="0.25"/>
  <cols>
    <col min="1" max="1" width="38.5703125" style="1" customWidth="1"/>
    <col min="2" max="2" width="14.5703125" style="1" customWidth="1"/>
    <col min="3" max="3" width="12.5703125" style="1" customWidth="1"/>
    <col min="4" max="4" width="14.5703125" style="1" customWidth="1"/>
    <col min="5" max="5" width="16.5703125" style="1" customWidth="1"/>
    <col min="6" max="6" width="14.5703125" style="1" customWidth="1"/>
    <col min="7" max="7" width="18.5703125" style="1" customWidth="1"/>
    <col min="8" max="8" width="14.5703125" style="1" customWidth="1"/>
    <col min="9" max="9" width="20.5703125" style="1" customWidth="1"/>
    <col min="10" max="10" width="14.5703125" style="1" customWidth="1"/>
    <col min="11" max="11" width="22.5703125" style="1" customWidth="1"/>
    <col min="12" max="13" width="14.5703125" style="1" customWidth="1"/>
    <col min="14" max="16384" width="9" style="1"/>
  </cols>
  <sheetData>
    <row r="1" spans="1:12" x14ac:dyDescent="0.25">
      <c r="A1" s="2" t="s">
        <v>9</v>
      </c>
    </row>
    <row r="3" spans="1:12" x14ac:dyDescent="0.25">
      <c r="C3" s="2" t="s">
        <v>10</v>
      </c>
      <c r="E3" s="2" t="s">
        <v>11</v>
      </c>
      <c r="G3" s="2" t="s">
        <v>12</v>
      </c>
      <c r="I3" s="2" t="s">
        <v>13</v>
      </c>
      <c r="K3" s="2" t="s">
        <v>14</v>
      </c>
    </row>
    <row r="4" spans="1:12" x14ac:dyDescent="0.25">
      <c r="A4" s="12" t="s">
        <v>15</v>
      </c>
      <c r="B4" s="12" t="s">
        <v>16</v>
      </c>
      <c r="C4" s="12" t="s">
        <v>17</v>
      </c>
      <c r="D4" s="12" t="s">
        <v>18</v>
      </c>
      <c r="E4" s="5" t="s">
        <v>19</v>
      </c>
      <c r="F4" s="5"/>
      <c r="G4" s="5" t="s">
        <v>20</v>
      </c>
      <c r="H4" s="5"/>
      <c r="I4" s="5" t="s">
        <v>21</v>
      </c>
      <c r="J4" s="5"/>
      <c r="K4" s="5" t="s">
        <v>22</v>
      </c>
      <c r="L4" s="6"/>
    </row>
    <row r="5" spans="1:12" x14ac:dyDescent="0.25">
      <c r="A5" s="13">
        <v>0</v>
      </c>
      <c r="B5" s="14">
        <v>2</v>
      </c>
      <c r="C5" s="13" t="s">
        <v>23</v>
      </c>
      <c r="D5" s="15">
        <v>0.51037569999999999</v>
      </c>
      <c r="E5" s="6" t="s">
        <v>28</v>
      </c>
      <c r="F5" s="10">
        <f>(D6-D5)/(B6-B5)</f>
        <v>5.2042999999999902E-2</v>
      </c>
      <c r="G5" s="6" t="s">
        <v>32</v>
      </c>
      <c r="H5" s="10">
        <f>(F6-F5)/(B7-B5)</f>
        <v>-0.25972749999999972</v>
      </c>
      <c r="I5" s="6" t="s">
        <v>35</v>
      </c>
      <c r="J5" s="10">
        <f>(H6-H5)/(B8-B5)</f>
        <v>4.2993749999999845E-2</v>
      </c>
      <c r="K5" s="6" t="s">
        <v>37</v>
      </c>
      <c r="L5" s="10">
        <f>(J6-J5)/(B9-B5)</f>
        <v>8.3411458333315317E-3</v>
      </c>
    </row>
    <row r="6" spans="1:12" x14ac:dyDescent="0.25">
      <c r="A6" s="13">
        <v>1</v>
      </c>
      <c r="B6" s="14">
        <v>2.2000000000000002</v>
      </c>
      <c r="C6" s="13" t="s">
        <v>24</v>
      </c>
      <c r="D6" s="15">
        <v>0.52078429999999998</v>
      </c>
      <c r="E6" s="6" t="s">
        <v>29</v>
      </c>
      <c r="F6" s="10">
        <f>(D7-D6)/(B7-B6)</f>
        <v>-5.1847999999999964E-2</v>
      </c>
      <c r="G6" s="6" t="s">
        <v>33</v>
      </c>
      <c r="H6" s="10">
        <f>(F7-F6)/(B8-B6)</f>
        <v>-0.23393124999999981</v>
      </c>
      <c r="I6" s="6" t="s">
        <v>36</v>
      </c>
      <c r="J6" s="10">
        <f>(H7-H6)/(B9-B6)</f>
        <v>4.9666666666665069E-2</v>
      </c>
      <c r="K6" s="6"/>
      <c r="L6" s="6"/>
    </row>
    <row r="7" spans="1:12" x14ac:dyDescent="0.25">
      <c r="A7" s="13">
        <v>2</v>
      </c>
      <c r="B7" s="14">
        <v>2.4</v>
      </c>
      <c r="C7" s="13" t="s">
        <v>25</v>
      </c>
      <c r="D7" s="15">
        <v>0.5104147</v>
      </c>
      <c r="E7" s="6" t="s">
        <v>30</v>
      </c>
      <c r="F7" s="10">
        <f>(D8-D7)/(B8-B7)</f>
        <v>-0.14542049999999987</v>
      </c>
      <c r="G7" s="6" t="s">
        <v>34</v>
      </c>
      <c r="H7" s="10">
        <f>(F8-F7)/(B9-B7)</f>
        <v>-0.20413125000000079</v>
      </c>
      <c r="I7" s="6"/>
      <c r="J7" s="6"/>
      <c r="K7" s="6"/>
      <c r="L7" s="6"/>
    </row>
    <row r="8" spans="1:12" x14ac:dyDescent="0.25">
      <c r="A8" s="13">
        <v>3</v>
      </c>
      <c r="B8" s="14">
        <v>2.6</v>
      </c>
      <c r="C8" s="13" t="s">
        <v>26</v>
      </c>
      <c r="D8" s="15">
        <v>0.4813306</v>
      </c>
      <c r="E8" s="6" t="s">
        <v>31</v>
      </c>
      <c r="F8" s="10">
        <f>(D9-D8)/(B9-B8)</f>
        <v>-0.22707300000000016</v>
      </c>
      <c r="G8" s="6"/>
      <c r="H8" s="6"/>
      <c r="I8" s="6"/>
      <c r="J8" s="6"/>
      <c r="K8" s="6"/>
      <c r="L8" s="6"/>
    </row>
    <row r="9" spans="1:12" x14ac:dyDescent="0.25">
      <c r="A9" s="13">
        <v>4</v>
      </c>
      <c r="B9" s="14">
        <v>2.8</v>
      </c>
      <c r="C9" s="13" t="s">
        <v>27</v>
      </c>
      <c r="D9" s="15">
        <v>0.43591600000000003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B10" s="3"/>
    </row>
    <row r="11" spans="1:12" x14ac:dyDescent="0.25">
      <c r="B11" s="3"/>
    </row>
    <row r="12" spans="1:12" x14ac:dyDescent="0.25">
      <c r="A12" s="1" t="s">
        <v>1</v>
      </c>
      <c r="B12" s="4">
        <v>2.1</v>
      </c>
    </row>
    <row r="14" spans="1:12" x14ac:dyDescent="0.25">
      <c r="A14" s="1" t="s">
        <v>38</v>
      </c>
      <c r="B14" s="11">
        <f>D5</f>
        <v>0.51037569999999999</v>
      </c>
    </row>
    <row r="15" spans="1:12" x14ac:dyDescent="0.25">
      <c r="A15" s="1" t="s">
        <v>39</v>
      </c>
      <c r="B15" s="11">
        <f>F5</f>
        <v>5.2042999999999902E-2</v>
      </c>
    </row>
    <row r="16" spans="1:12" x14ac:dyDescent="0.25">
      <c r="A16" s="1" t="s">
        <v>40</v>
      </c>
      <c r="B16" s="11">
        <f>H5</f>
        <v>-0.25972749999999972</v>
      </c>
    </row>
    <row r="17" spans="1:2" x14ac:dyDescent="0.25">
      <c r="A17" s="1" t="s">
        <v>41</v>
      </c>
      <c r="B17" s="11">
        <f>J5</f>
        <v>4.2993749999999845E-2</v>
      </c>
    </row>
    <row r="18" spans="1:2" x14ac:dyDescent="0.25">
      <c r="B18" s="8"/>
    </row>
    <row r="19" spans="1:2" x14ac:dyDescent="0.25">
      <c r="A19" s="1" t="s">
        <v>42</v>
      </c>
      <c r="B19" s="8"/>
    </row>
    <row r="20" spans="1:2" x14ac:dyDescent="0.25">
      <c r="A20" s="1" t="s">
        <v>43</v>
      </c>
      <c r="B20" s="8"/>
    </row>
    <row r="21" spans="1:2" x14ac:dyDescent="0.25">
      <c r="A21" s="1" t="s">
        <v>44</v>
      </c>
      <c r="B21" s="16">
        <f>B14+B15*(B12-B5)</f>
        <v>0.51557999999999993</v>
      </c>
    </row>
    <row r="22" spans="1:2" x14ac:dyDescent="0.25">
      <c r="A22" s="1" t="s">
        <v>45</v>
      </c>
      <c r="B22" s="7"/>
    </row>
    <row r="23" spans="1:2" x14ac:dyDescent="0.25">
      <c r="A23" s="1" t="s">
        <v>46</v>
      </c>
      <c r="B23" s="9">
        <f>B21+B16*(B12-B5)*(B12-B6)</f>
        <v>0.51817727499999988</v>
      </c>
    </row>
    <row r="24" spans="1:2" x14ac:dyDescent="0.25">
      <c r="A24" s="1" t="s">
        <v>47</v>
      </c>
      <c r="B24" s="7"/>
    </row>
    <row r="25" spans="1:2" x14ac:dyDescent="0.25">
      <c r="A25" s="1" t="s">
        <v>48</v>
      </c>
      <c r="B25" s="9">
        <f>B23+B17*(B12-B5)*(B12-B6)*(B12-B7)</f>
        <v>0.51830625624999993</v>
      </c>
    </row>
    <row r="27" spans="1:2" x14ac:dyDescent="0.25">
      <c r="A27" s="1" t="s">
        <v>49</v>
      </c>
    </row>
    <row r="29" spans="1:2" x14ac:dyDescent="0.25">
      <c r="A29" s="2" t="s">
        <v>8</v>
      </c>
    </row>
    <row r="30" spans="1:2" x14ac:dyDescent="0.25">
      <c r="A30" s="1" t="s">
        <v>50</v>
      </c>
    </row>
    <row r="54" spans="1:1" x14ac:dyDescent="0.25">
      <c r="A54" s="1" t="s">
        <v>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3F09-D873-4B3D-81BD-9E3B17EF424D}">
  <dimension ref="A1:J53"/>
  <sheetViews>
    <sheetView zoomScale="61" workbookViewId="0">
      <selection activeCell="G13" sqref="G13"/>
    </sheetView>
  </sheetViews>
  <sheetFormatPr defaultColWidth="9" defaultRowHeight="15" x14ac:dyDescent="0.25"/>
  <cols>
    <col min="1" max="1" width="36.5703125" style="1" customWidth="1"/>
    <col min="2" max="4" width="14.5703125" style="1" customWidth="1"/>
    <col min="5" max="5" width="16.5703125" style="1" customWidth="1"/>
    <col min="6" max="6" width="14.5703125" style="1" customWidth="1"/>
    <col min="7" max="7" width="18.5703125" style="1" customWidth="1"/>
    <col min="8" max="8" width="14.5703125" style="1" customWidth="1"/>
    <col min="9" max="9" width="20.5703125" style="1" customWidth="1"/>
    <col min="10" max="10" width="14.5703125" style="1" customWidth="1"/>
    <col min="11" max="11" width="12.5703125" style="1" customWidth="1"/>
    <col min="12" max="13" width="14.5703125" style="1" customWidth="1"/>
    <col min="14" max="16384" width="9" style="1"/>
  </cols>
  <sheetData>
    <row r="1" spans="1:10" ht="18.75" x14ac:dyDescent="0.3">
      <c r="A1" s="17"/>
    </row>
    <row r="2" spans="1:10" ht="156" customHeight="1" x14ac:dyDescent="0.3">
      <c r="A2" s="18" t="s">
        <v>52</v>
      </c>
      <c r="B2" s="51"/>
      <c r="C2" s="51"/>
      <c r="D2" s="51"/>
      <c r="E2" s="51"/>
      <c r="F2" s="51"/>
    </row>
    <row r="4" spans="1:10" x14ac:dyDescent="0.25">
      <c r="A4" s="2" t="s">
        <v>0</v>
      </c>
    </row>
    <row r="5" spans="1:10" x14ac:dyDescent="0.25">
      <c r="A5" s="12" t="s">
        <v>15</v>
      </c>
      <c r="B5" s="12" t="s">
        <v>16</v>
      </c>
      <c r="C5" s="12" t="s">
        <v>17</v>
      </c>
      <c r="D5" s="12" t="s">
        <v>18</v>
      </c>
    </row>
    <row r="6" spans="1:10" x14ac:dyDescent="0.25">
      <c r="A6" s="13">
        <v>0</v>
      </c>
      <c r="B6" s="14">
        <v>0</v>
      </c>
      <c r="C6" s="13" t="s">
        <v>23</v>
      </c>
      <c r="D6" s="15">
        <v>1</v>
      </c>
    </row>
    <row r="7" spans="1:10" x14ac:dyDescent="0.25">
      <c r="A7" s="13">
        <v>1</v>
      </c>
      <c r="B7" s="14">
        <v>0.5</v>
      </c>
      <c r="C7" s="13" t="s">
        <v>24</v>
      </c>
      <c r="D7" s="15">
        <v>1.648722</v>
      </c>
    </row>
    <row r="8" spans="1:10" x14ac:dyDescent="0.25">
      <c r="A8" s="13">
        <v>2</v>
      </c>
      <c r="B8" s="14">
        <v>1</v>
      </c>
      <c r="C8" s="13" t="s">
        <v>25</v>
      </c>
      <c r="D8" s="15">
        <v>2.7182279999999999</v>
      </c>
    </row>
    <row r="9" spans="1:10" x14ac:dyDescent="0.25">
      <c r="A9" s="13">
        <v>3</v>
      </c>
      <c r="B9" s="14">
        <v>2</v>
      </c>
      <c r="C9" s="13" t="s">
        <v>26</v>
      </c>
      <c r="D9" s="15">
        <v>7.3890659999999997</v>
      </c>
    </row>
    <row r="11" spans="1:10" x14ac:dyDescent="0.25">
      <c r="A11" s="2" t="s">
        <v>53</v>
      </c>
    </row>
    <row r="12" spans="1:10" x14ac:dyDescent="0.25">
      <c r="C12" s="2" t="s">
        <v>10</v>
      </c>
      <c r="D12" s="2"/>
      <c r="E12" s="2" t="s">
        <v>11</v>
      </c>
      <c r="F12" s="2"/>
      <c r="G12" s="2" t="s">
        <v>12</v>
      </c>
      <c r="H12" s="2"/>
      <c r="I12" s="2" t="s">
        <v>13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 t="s">
        <v>18</v>
      </c>
      <c r="E13" s="5" t="s">
        <v>19</v>
      </c>
      <c r="F13" s="5"/>
      <c r="G13" s="5" t="s">
        <v>20</v>
      </c>
      <c r="H13" s="5"/>
      <c r="I13" s="5" t="s">
        <v>54</v>
      </c>
      <c r="J13" s="6"/>
    </row>
    <row r="14" spans="1:10" x14ac:dyDescent="0.25">
      <c r="A14" s="6">
        <f t="shared" ref="A14:B17" si="0">A6</f>
        <v>0</v>
      </c>
      <c r="B14" s="22">
        <f t="shared" si="0"/>
        <v>0</v>
      </c>
      <c r="C14" s="6" t="s">
        <v>23</v>
      </c>
      <c r="D14" s="10">
        <f>D6</f>
        <v>1</v>
      </c>
      <c r="E14" s="6" t="s">
        <v>28</v>
      </c>
      <c r="F14" s="10">
        <f>(D15-D14)/(B15-B14)</f>
        <v>1.297444</v>
      </c>
      <c r="G14" s="6" t="s">
        <v>32</v>
      </c>
      <c r="H14" s="10">
        <f>(F15-F14)/(B16-B14)</f>
        <v>0.84156799999999965</v>
      </c>
      <c r="I14" s="6" t="s">
        <v>35</v>
      </c>
      <c r="J14" s="10">
        <f>(H15-H14)/(B17-B14)</f>
        <v>0.42315800000000026</v>
      </c>
    </row>
    <row r="15" spans="1:10" x14ac:dyDescent="0.25">
      <c r="A15" s="6">
        <f t="shared" si="0"/>
        <v>1</v>
      </c>
      <c r="B15" s="22">
        <f t="shared" si="0"/>
        <v>0.5</v>
      </c>
      <c r="C15" s="6" t="s">
        <v>24</v>
      </c>
      <c r="D15" s="10">
        <f>D7</f>
        <v>1.648722</v>
      </c>
      <c r="E15" s="6" t="s">
        <v>29</v>
      </c>
      <c r="F15" s="10">
        <f>(D16-D15)/(B16-B15)</f>
        <v>2.1390119999999997</v>
      </c>
      <c r="G15" s="6" t="s">
        <v>33</v>
      </c>
      <c r="H15" s="10">
        <f>(F16-F15)/(B17-B15)</f>
        <v>1.6878840000000002</v>
      </c>
      <c r="I15" s="6"/>
      <c r="J15" s="6"/>
    </row>
    <row r="16" spans="1:10" x14ac:dyDescent="0.25">
      <c r="A16" s="6">
        <f t="shared" si="0"/>
        <v>2</v>
      </c>
      <c r="B16" s="22">
        <f t="shared" si="0"/>
        <v>1</v>
      </c>
      <c r="C16" s="6" t="s">
        <v>25</v>
      </c>
      <c r="D16" s="10">
        <f>D8</f>
        <v>2.7182279999999999</v>
      </c>
      <c r="E16" s="6" t="s">
        <v>30</v>
      </c>
      <c r="F16" s="10">
        <f>(D17-D16)/(B17-B16)</f>
        <v>4.6708379999999998</v>
      </c>
      <c r="G16" s="6"/>
      <c r="H16" s="6"/>
      <c r="I16" s="6"/>
      <c r="J16" s="6"/>
    </row>
    <row r="17" spans="1:10" x14ac:dyDescent="0.25">
      <c r="A17" s="6">
        <f t="shared" si="0"/>
        <v>3</v>
      </c>
      <c r="B17" s="22">
        <f t="shared" si="0"/>
        <v>2</v>
      </c>
      <c r="C17" s="6" t="s">
        <v>26</v>
      </c>
      <c r="D17" s="10">
        <f>D9</f>
        <v>7.3890659999999997</v>
      </c>
      <c r="E17" s="6"/>
      <c r="F17" s="6"/>
      <c r="G17" s="6"/>
      <c r="H17" s="6"/>
      <c r="I17" s="6"/>
      <c r="J17" s="6"/>
    </row>
    <row r="21" spans="1:10" x14ac:dyDescent="0.25">
      <c r="A21" s="2" t="s">
        <v>55</v>
      </c>
    </row>
    <row r="22" spans="1:10" x14ac:dyDescent="0.25">
      <c r="A22" s="1" t="s">
        <v>1</v>
      </c>
      <c r="B22" s="20">
        <v>0.25</v>
      </c>
    </row>
    <row r="23" spans="1:10" x14ac:dyDescent="0.25">
      <c r="A23" s="1" t="s">
        <v>56</v>
      </c>
      <c r="B23" s="21">
        <f>D14+F14*(B22-B14)</f>
        <v>1.3243610000000001</v>
      </c>
    </row>
    <row r="25" spans="1:10" x14ac:dyDescent="0.25">
      <c r="A25" s="2" t="s">
        <v>57</v>
      </c>
    </row>
    <row r="26" spans="1:10" x14ac:dyDescent="0.25">
      <c r="A26" s="1" t="s">
        <v>1</v>
      </c>
      <c r="B26" s="20">
        <v>0.75</v>
      </c>
    </row>
    <row r="27" spans="1:10" x14ac:dyDescent="0.25">
      <c r="A27" s="1" t="s">
        <v>58</v>
      </c>
      <c r="B27" s="21">
        <f>D15+F15*(B26-B15)</f>
        <v>2.1834750000000001</v>
      </c>
    </row>
    <row r="29" spans="1:10" x14ac:dyDescent="0.25">
      <c r="A29" s="2" t="s">
        <v>59</v>
      </c>
    </row>
    <row r="30" spans="1:10" x14ac:dyDescent="0.25">
      <c r="A30" s="1" t="s">
        <v>2</v>
      </c>
      <c r="B30" s="3">
        <f>B6</f>
        <v>0</v>
      </c>
      <c r="C30" s="1" t="s">
        <v>3</v>
      </c>
      <c r="D30" s="19">
        <f>D6</f>
        <v>1</v>
      </c>
    </row>
    <row r="31" spans="1:10" x14ac:dyDescent="0.25">
      <c r="A31" s="1" t="s">
        <v>4</v>
      </c>
      <c r="B31" s="3">
        <f>B8</f>
        <v>1</v>
      </c>
      <c r="C31" s="1" t="s">
        <v>5</v>
      </c>
      <c r="D31" s="19">
        <f>D8</f>
        <v>2.7182279999999999</v>
      </c>
    </row>
    <row r="32" spans="1:10" x14ac:dyDescent="0.25">
      <c r="A32" s="1" t="s">
        <v>6</v>
      </c>
      <c r="B32" s="3">
        <f>B9</f>
        <v>2</v>
      </c>
      <c r="C32" s="1" t="s">
        <v>7</v>
      </c>
      <c r="D32" s="19">
        <f>D9</f>
        <v>7.3890659999999997</v>
      </c>
    </row>
    <row r="33" spans="1:6" x14ac:dyDescent="0.25">
      <c r="A33" s="1" t="s">
        <v>60</v>
      </c>
      <c r="B33" s="19">
        <f>D30</f>
        <v>1</v>
      </c>
    </row>
    <row r="34" spans="1:6" x14ac:dyDescent="0.25">
      <c r="A34" s="1" t="s">
        <v>61</v>
      </c>
      <c r="B34" s="19">
        <f>(D31-D30)/(B31-B30)</f>
        <v>1.7182279999999999</v>
      </c>
    </row>
    <row r="35" spans="1:6" x14ac:dyDescent="0.25">
      <c r="A35" s="1" t="s">
        <v>62</v>
      </c>
      <c r="B35" s="19">
        <f>((D32-D31)/(B32-B31)-B34)/(B32-B30)</f>
        <v>1.476305</v>
      </c>
    </row>
    <row r="36" spans="1:6" x14ac:dyDescent="0.25">
      <c r="A36" s="1" t="s">
        <v>63</v>
      </c>
      <c r="B36" s="21">
        <f>B33+B34*(B22-B30)+B35*(B22-B30)*(B22-B31)</f>
        <v>1.1527498125</v>
      </c>
    </row>
    <row r="37" spans="1:6" x14ac:dyDescent="0.25">
      <c r="A37" s="1" t="s">
        <v>64</v>
      </c>
      <c r="B37" s="21">
        <f>B33+B34*(B26-B30)+B35*(B26-B30)*(B26-B31)</f>
        <v>2.0118638124999997</v>
      </c>
    </row>
    <row r="39" spans="1:6" x14ac:dyDescent="0.25">
      <c r="A39" s="2" t="s">
        <v>65</v>
      </c>
    </row>
    <row r="40" spans="1:6" ht="36" customHeight="1" x14ac:dyDescent="0.25">
      <c r="A40" s="50" t="s">
        <v>66</v>
      </c>
      <c r="B40" s="50"/>
      <c r="C40" s="50"/>
      <c r="D40" s="50"/>
      <c r="E40" s="50"/>
      <c r="F40" s="50"/>
    </row>
    <row r="41" spans="1:6" x14ac:dyDescent="0.25">
      <c r="A41" s="50"/>
      <c r="B41" s="50"/>
      <c r="C41" s="50"/>
      <c r="D41" s="50"/>
      <c r="E41" s="50"/>
      <c r="F41" s="50"/>
    </row>
    <row r="42" spans="1:6" x14ac:dyDescent="0.25">
      <c r="A42" s="50"/>
      <c r="B42" s="50"/>
      <c r="C42" s="50"/>
      <c r="D42" s="50"/>
      <c r="E42" s="50"/>
      <c r="F42" s="50"/>
    </row>
    <row r="44" spans="1:6" x14ac:dyDescent="0.25">
      <c r="A44" s="2" t="s">
        <v>67</v>
      </c>
    </row>
    <row r="45" spans="1:6" x14ac:dyDescent="0.25">
      <c r="A45" s="1" t="s">
        <v>68</v>
      </c>
    </row>
    <row r="46" spans="1:6" x14ac:dyDescent="0.25">
      <c r="A46" s="1" t="s">
        <v>60</v>
      </c>
      <c r="B46" s="19">
        <f>D14</f>
        <v>1</v>
      </c>
    </row>
    <row r="47" spans="1:6" x14ac:dyDescent="0.25">
      <c r="A47" s="1" t="s">
        <v>61</v>
      </c>
      <c r="B47" s="19">
        <f>F14</f>
        <v>1.297444</v>
      </c>
    </row>
    <row r="48" spans="1:6" x14ac:dyDescent="0.25">
      <c r="A48" s="1" t="s">
        <v>62</v>
      </c>
      <c r="B48" s="19">
        <f>H14</f>
        <v>0.84156799999999965</v>
      </c>
    </row>
    <row r="49" spans="1:2" x14ac:dyDescent="0.25">
      <c r="A49" s="1" t="s">
        <v>69</v>
      </c>
      <c r="B49" s="19">
        <f>J14</f>
        <v>0.42315800000000026</v>
      </c>
    </row>
    <row r="50" spans="1:2" x14ac:dyDescent="0.25">
      <c r="A50" s="1" t="s">
        <v>70</v>
      </c>
      <c r="B50" s="21">
        <f>B46+B47*(B22-B14)+B48*(B22-B14)*(B22-B15)+B49*(B22-B14)*(B22-B15)*(B22-B16)</f>
        <v>1.2915985312500002</v>
      </c>
    </row>
    <row r="53" spans="1:2" x14ac:dyDescent="0.25">
      <c r="A53" s="2" t="s">
        <v>71</v>
      </c>
    </row>
  </sheetData>
  <mergeCells count="2">
    <mergeCell ref="A40:F42"/>
    <mergeCell ref="B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0D7E-75C6-48F8-AA91-77F14AE99BAE}">
  <dimension ref="A21:J107"/>
  <sheetViews>
    <sheetView tabSelected="1" topLeftCell="A24" zoomScale="70" zoomScaleNormal="70" workbookViewId="0">
      <selection activeCell="B55" sqref="B55"/>
    </sheetView>
  </sheetViews>
  <sheetFormatPr defaultColWidth="9" defaultRowHeight="15" x14ac:dyDescent="0.25"/>
  <cols>
    <col min="1" max="1" width="38.5703125" style="1" customWidth="1"/>
    <col min="2" max="4" width="16.5703125" style="1" customWidth="1"/>
    <col min="5" max="5" width="18.5703125" style="1" customWidth="1"/>
    <col min="6" max="6" width="16.5703125" style="1" customWidth="1"/>
    <col min="7" max="7" width="22.5703125" style="1" customWidth="1"/>
    <col min="8" max="8" width="16.5703125" style="1" customWidth="1"/>
    <col min="9" max="9" width="22.5703125" style="1" customWidth="1"/>
    <col min="10" max="10" width="16.5703125" style="1" customWidth="1"/>
    <col min="11" max="16384" width="9" style="1"/>
  </cols>
  <sheetData>
    <row r="21" spans="1:3" ht="18.75" x14ac:dyDescent="0.3">
      <c r="A21" s="17" t="s">
        <v>72</v>
      </c>
    </row>
    <row r="22" spans="1:3" x14ac:dyDescent="0.25">
      <c r="A22" s="23" t="s">
        <v>1</v>
      </c>
      <c r="B22" s="24">
        <v>0.34</v>
      </c>
    </row>
    <row r="24" spans="1:3" x14ac:dyDescent="0.25">
      <c r="A24" s="2" t="s">
        <v>0</v>
      </c>
    </row>
    <row r="25" spans="1:3" x14ac:dyDescent="0.25">
      <c r="A25" s="26" t="s">
        <v>15</v>
      </c>
      <c r="B25" s="27" t="s">
        <v>16</v>
      </c>
      <c r="C25" s="29" t="s">
        <v>18</v>
      </c>
    </row>
    <row r="26" spans="1:3" x14ac:dyDescent="0.25">
      <c r="A26" s="37">
        <v>0</v>
      </c>
      <c r="B26" s="38">
        <v>0.3</v>
      </c>
      <c r="C26" s="39">
        <v>0.29552</v>
      </c>
    </row>
    <row r="27" spans="1:3" x14ac:dyDescent="0.25">
      <c r="A27" s="37">
        <v>1</v>
      </c>
      <c r="B27" s="38">
        <v>0.32</v>
      </c>
      <c r="C27" s="39">
        <v>0.31457000000000002</v>
      </c>
    </row>
    <row r="28" spans="1:3" x14ac:dyDescent="0.25">
      <c r="A28" s="37">
        <v>2</v>
      </c>
      <c r="B28" s="38">
        <v>0.33</v>
      </c>
      <c r="C28" s="39">
        <v>0.32403999999999999</v>
      </c>
    </row>
    <row r="29" spans="1:3" x14ac:dyDescent="0.25">
      <c r="A29" s="40">
        <v>3</v>
      </c>
      <c r="B29" s="41">
        <v>0.35</v>
      </c>
      <c r="C29" s="42">
        <v>0.34289999999999998</v>
      </c>
    </row>
    <row r="31" spans="1:3" x14ac:dyDescent="0.25">
      <c r="A31" s="31" t="s">
        <v>73</v>
      </c>
      <c r="B31" s="43">
        <f>($B$22-B27)*($B$22-B28)*($B$22-B29)/((B26-B27)*(B26-B28)*(B26-B29))</f>
        <v>6.6666666666666374E-2</v>
      </c>
    </row>
    <row r="32" spans="1:3" x14ac:dyDescent="0.25">
      <c r="A32" s="25" t="s">
        <v>74</v>
      </c>
      <c r="B32" s="44">
        <f>($B$22-B26)*($B$22-B28)*($B$22-B29)/((B27-B26)*(B27-B28)*(B27-B29))</f>
        <v>-0.66666666666666419</v>
      </c>
    </row>
    <row r="33" spans="1:10" x14ac:dyDescent="0.25">
      <c r="A33" s="25" t="s">
        <v>75</v>
      </c>
      <c r="B33" s="44">
        <f>($B$22-B26)*($B$22-B27)*($B$22-B29)/((B28-B26)*(B28-B27)*(B28-B29))</f>
        <v>1.3333333333333297</v>
      </c>
    </row>
    <row r="34" spans="1:10" x14ac:dyDescent="0.25">
      <c r="A34" s="25" t="s">
        <v>76</v>
      </c>
      <c r="B34" s="44">
        <f>($B$22-B26)*($B$22-B27)*($B$22-B28)/((B29-B26)*(B29-B27)*(B29-B28))</f>
        <v>0.26666666666666822</v>
      </c>
    </row>
    <row r="35" spans="1:10" x14ac:dyDescent="0.25">
      <c r="A35" s="28" t="s">
        <v>77</v>
      </c>
      <c r="B35" s="45">
        <f>B31+B32+B33+B34</f>
        <v>1</v>
      </c>
    </row>
    <row r="36" spans="1:10" x14ac:dyDescent="0.25">
      <c r="B36" s="19"/>
    </row>
    <row r="37" spans="1:10" x14ac:dyDescent="0.25">
      <c r="A37" s="32" t="s">
        <v>78</v>
      </c>
      <c r="B37" s="33">
        <f>C26*B31+C27*B32+C28*B33+C29*B34</f>
        <v>0.3334813333333333</v>
      </c>
    </row>
    <row r="39" spans="1:10" ht="18.75" x14ac:dyDescent="0.3">
      <c r="A39" s="17" t="s">
        <v>79</v>
      </c>
    </row>
    <row r="40" spans="1:10" x14ac:dyDescent="0.25">
      <c r="A40" s="1" t="s">
        <v>80</v>
      </c>
    </row>
    <row r="41" spans="1:10" x14ac:dyDescent="0.25">
      <c r="A41" s="23" t="s">
        <v>1</v>
      </c>
      <c r="B41" s="24">
        <f>B22</f>
        <v>0.34</v>
      </c>
    </row>
    <row r="43" spans="1:10" x14ac:dyDescent="0.25">
      <c r="A43" s="2" t="s">
        <v>53</v>
      </c>
    </row>
    <row r="44" spans="1:10" x14ac:dyDescent="0.25">
      <c r="C44" s="2" t="s">
        <v>10</v>
      </c>
      <c r="D44" s="2"/>
      <c r="E44" s="2" t="s">
        <v>11</v>
      </c>
      <c r="F44" s="2"/>
      <c r="G44" s="2" t="s">
        <v>12</v>
      </c>
      <c r="H44" s="2"/>
      <c r="I44" s="2" t="s">
        <v>13</v>
      </c>
    </row>
    <row r="45" spans="1:10" x14ac:dyDescent="0.25">
      <c r="A45" s="34" t="s">
        <v>15</v>
      </c>
      <c r="B45" s="35" t="s">
        <v>16</v>
      </c>
      <c r="C45" s="35" t="s">
        <v>17</v>
      </c>
      <c r="D45" s="36" t="s">
        <v>18</v>
      </c>
      <c r="E45" s="2" t="s">
        <v>19</v>
      </c>
      <c r="F45" s="2"/>
      <c r="G45" s="2" t="s">
        <v>20</v>
      </c>
      <c r="H45" s="2"/>
      <c r="I45" s="2" t="s">
        <v>54</v>
      </c>
    </row>
    <row r="46" spans="1:10" x14ac:dyDescent="0.25">
      <c r="A46" s="37">
        <f t="shared" ref="A46:B49" si="0">A26</f>
        <v>0</v>
      </c>
      <c r="B46" s="38">
        <f t="shared" si="0"/>
        <v>0.3</v>
      </c>
      <c r="C46" s="8" t="s">
        <v>23</v>
      </c>
      <c r="D46" s="39">
        <f>C26</f>
        <v>0.29552</v>
      </c>
      <c r="E46" s="46" t="s">
        <v>28</v>
      </c>
      <c r="F46" s="43">
        <f>(D47-D46)/(B47-B46)</f>
        <v>0.95249999999999968</v>
      </c>
      <c r="G46" s="46" t="s">
        <v>32</v>
      </c>
      <c r="H46" s="43">
        <f>(F47-F46)/(B48-B46)</f>
        <v>-0.183333333333424</v>
      </c>
      <c r="I46" s="47" t="s">
        <v>35</v>
      </c>
      <c r="J46" s="48">
        <f>(H47-H46)/(B49-B46)</f>
        <v>1.0000000000046212</v>
      </c>
    </row>
    <row r="47" spans="1:10" x14ac:dyDescent="0.25">
      <c r="A47" s="37">
        <f t="shared" si="0"/>
        <v>1</v>
      </c>
      <c r="B47" s="38">
        <f t="shared" si="0"/>
        <v>0.32</v>
      </c>
      <c r="C47" s="8" t="s">
        <v>24</v>
      </c>
      <c r="D47" s="39">
        <f>C27</f>
        <v>0.31457000000000002</v>
      </c>
      <c r="E47" s="37" t="s">
        <v>29</v>
      </c>
      <c r="F47" s="44">
        <f>(D48-D47)/(B48-B47)</f>
        <v>0.94699999999999696</v>
      </c>
      <c r="G47" s="40" t="s">
        <v>33</v>
      </c>
      <c r="H47" s="45">
        <f>(F48-F47)/(B49-B47)</f>
        <v>-0.13333333333319294</v>
      </c>
      <c r="I47" s="8"/>
      <c r="J47" s="8"/>
    </row>
    <row r="48" spans="1:10" x14ac:dyDescent="0.25">
      <c r="A48" s="37">
        <f t="shared" si="0"/>
        <v>2</v>
      </c>
      <c r="B48" s="38">
        <f t="shared" si="0"/>
        <v>0.33</v>
      </c>
      <c r="C48" s="8" t="s">
        <v>25</v>
      </c>
      <c r="D48" s="39">
        <f>C28</f>
        <v>0.32403999999999999</v>
      </c>
      <c r="E48" s="40" t="s">
        <v>30</v>
      </c>
      <c r="F48" s="45">
        <f>(D49-D48)/(B49-B48)</f>
        <v>0.94300000000000117</v>
      </c>
      <c r="G48" s="8"/>
      <c r="H48" s="8"/>
      <c r="I48" s="8"/>
      <c r="J48" s="8"/>
    </row>
    <row r="49" spans="1:10" x14ac:dyDescent="0.25">
      <c r="A49" s="40">
        <f t="shared" si="0"/>
        <v>3</v>
      </c>
      <c r="B49" s="41">
        <f t="shared" si="0"/>
        <v>0.35</v>
      </c>
      <c r="C49" s="49" t="s">
        <v>26</v>
      </c>
      <c r="D49" s="42">
        <f>C29</f>
        <v>0.34289999999999998</v>
      </c>
      <c r="E49" s="8"/>
      <c r="F49" s="8"/>
      <c r="G49" s="8"/>
      <c r="H49" s="8"/>
      <c r="I49" s="8"/>
      <c r="J49" s="8"/>
    </row>
    <row r="51" spans="1:10" x14ac:dyDescent="0.25">
      <c r="A51" s="1" t="s">
        <v>81</v>
      </c>
    </row>
    <row r="52" spans="1:10" x14ac:dyDescent="0.25">
      <c r="A52" s="31" t="s">
        <v>82</v>
      </c>
      <c r="B52" s="43">
        <f>D49</f>
        <v>0.34289999999999998</v>
      </c>
    </row>
    <row r="53" spans="1:10" x14ac:dyDescent="0.25">
      <c r="A53" s="25" t="s">
        <v>83</v>
      </c>
      <c r="B53" s="44">
        <f>F48</f>
        <v>0.94300000000000117</v>
      </c>
    </row>
    <row r="54" spans="1:10" x14ac:dyDescent="0.25">
      <c r="A54" s="25" t="s">
        <v>84</v>
      </c>
      <c r="B54" s="44">
        <f>H47</f>
        <v>-0.13333333333319294</v>
      </c>
    </row>
    <row r="55" spans="1:10" x14ac:dyDescent="0.25">
      <c r="A55" s="28" t="s">
        <v>85</v>
      </c>
      <c r="B55" s="45">
        <f>J46</f>
        <v>1.0000000000046212</v>
      </c>
    </row>
    <row r="57" spans="1:10" x14ac:dyDescent="0.25">
      <c r="A57" s="23" t="s">
        <v>78</v>
      </c>
      <c r="B57" s="30">
        <f>B52+B53*(B41-B49)+B54*(B41-B49)*(B41-B48)+B55*(B41-B49)*(B41-B48)*(B41-B47)</f>
        <v>0.3334813333333333</v>
      </c>
      <c r="C57" s="1" t="s">
        <v>89</v>
      </c>
    </row>
    <row r="58" spans="1:10" x14ac:dyDescent="0.25">
      <c r="A58" s="1" t="s">
        <v>86</v>
      </c>
    </row>
    <row r="60" spans="1:10" x14ac:dyDescent="0.25">
      <c r="A60" s="2" t="s">
        <v>8</v>
      </c>
    </row>
    <row r="61" spans="1:10" x14ac:dyDescent="0.25">
      <c r="A61" s="1" t="s">
        <v>87</v>
      </c>
    </row>
    <row r="107" spans="1:1" x14ac:dyDescent="0.25">
      <c r="A107" s="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 1</vt:lpstr>
      <vt:lpstr>ejercicio4.2</vt:lpstr>
      <vt:lpstr>ejercicio4.3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2026-10-12T13:15:36Z</dcterms:created>
  <dcterms:modified xsi:type="dcterms:W3CDTF">2026-10-21T00:33:44Z</dcterms:modified>
</cp:coreProperties>
</file>