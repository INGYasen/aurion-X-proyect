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en\Downloads\metodo numerico 6to\"/>
    </mc:Choice>
  </mc:AlternateContent>
  <xr:revisionPtr revIDLastSave="0" documentId="13_ncr:1_{17C4078E-0449-4CF7-A01E-51503A66F4CD}" xr6:coauthVersionLast="47" xr6:coauthVersionMax="47" xr10:uidLastSave="{00000000-0000-0000-0000-000000000000}"/>
  <bookViews>
    <workbookView xWindow="-98" yWindow="-98" windowWidth="19396" windowHeight="11475" activeTab="2" xr2:uid="{C4FB007D-1EB9-448A-909C-DBFE18CA45C5}"/>
  </bookViews>
  <sheets>
    <sheet name="polinomial" sheetId="1" r:id="rId1"/>
    <sheet name="lineal multiple" sheetId="2" r:id="rId2"/>
    <sheet name="c a 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3" l="1"/>
  <c r="C27" i="3"/>
  <c r="C26" i="3"/>
  <c r="H24" i="3"/>
  <c r="H23" i="3"/>
  <c r="H22" i="3"/>
  <c r="E24" i="3"/>
  <c r="D24" i="3"/>
  <c r="C24" i="3"/>
  <c r="E23" i="3"/>
  <c r="D23" i="3"/>
  <c r="C23" i="3"/>
  <c r="E22" i="3"/>
  <c r="D22" i="3"/>
  <c r="C22" i="3"/>
  <c r="I17" i="3"/>
  <c r="H17" i="3"/>
  <c r="G17" i="3"/>
  <c r="F17" i="3"/>
  <c r="E17" i="3"/>
  <c r="D17" i="3"/>
  <c r="C17" i="3"/>
  <c r="I16" i="3"/>
  <c r="H16" i="3"/>
  <c r="G16" i="3"/>
  <c r="F16" i="3"/>
  <c r="E16" i="3"/>
  <c r="I15" i="3"/>
  <c r="H15" i="3"/>
  <c r="G15" i="3"/>
  <c r="F15" i="3"/>
  <c r="E15" i="3"/>
  <c r="I14" i="3"/>
  <c r="H14" i="3"/>
  <c r="G14" i="3"/>
  <c r="F14" i="3"/>
  <c r="E14" i="3"/>
  <c r="I13" i="3"/>
  <c r="H13" i="3"/>
  <c r="G13" i="3"/>
  <c r="F13" i="3"/>
  <c r="E13" i="3"/>
  <c r="I12" i="3"/>
  <c r="H12" i="3"/>
  <c r="G12" i="3"/>
  <c r="F12" i="3"/>
  <c r="E12" i="3"/>
  <c r="I11" i="3"/>
  <c r="H11" i="3"/>
  <c r="G11" i="3"/>
  <c r="F11" i="3"/>
  <c r="E11" i="3"/>
  <c r="R32" i="2"/>
  <c r="R31" i="2"/>
  <c r="R30" i="2"/>
  <c r="S29" i="2"/>
  <c r="R29" i="2"/>
  <c r="Q29" i="2"/>
  <c r="S28" i="2"/>
  <c r="R28" i="2"/>
  <c r="Q28" i="2"/>
  <c r="S27" i="2"/>
  <c r="R27" i="2"/>
  <c r="Q27" i="2"/>
  <c r="U24" i="2"/>
  <c r="U23" i="2"/>
  <c r="U22" i="2"/>
  <c r="S24" i="2"/>
  <c r="R24" i="2"/>
  <c r="Q24" i="2"/>
  <c r="S23" i="2"/>
  <c r="R23" i="2"/>
  <c r="Q23" i="2"/>
  <c r="S22" i="2"/>
  <c r="R22" i="2"/>
  <c r="Q22" i="2"/>
  <c r="M15" i="2"/>
  <c r="J12" i="2"/>
  <c r="I12" i="2"/>
  <c r="H12" i="2"/>
  <c r="G12" i="2"/>
  <c r="F12" i="2"/>
  <c r="E12" i="2"/>
  <c r="D12" i="2"/>
  <c r="C12" i="2"/>
  <c r="J11" i="2"/>
  <c r="I11" i="2"/>
  <c r="H11" i="2"/>
  <c r="G11" i="2"/>
  <c r="F11" i="2"/>
  <c r="J10" i="2"/>
  <c r="I10" i="2"/>
  <c r="H10" i="2"/>
  <c r="G10" i="2"/>
  <c r="F10" i="2"/>
  <c r="J9" i="2"/>
  <c r="I9" i="2"/>
  <c r="H9" i="2"/>
  <c r="G9" i="2"/>
  <c r="F9" i="2"/>
  <c r="J8" i="2"/>
  <c r="I8" i="2"/>
  <c r="H8" i="2"/>
  <c r="G8" i="2"/>
  <c r="F8" i="2"/>
  <c r="J7" i="2"/>
  <c r="I7" i="2"/>
  <c r="H7" i="2"/>
  <c r="G7" i="2"/>
  <c r="F7" i="2"/>
  <c r="J6" i="2"/>
  <c r="I6" i="2"/>
  <c r="H6" i="2"/>
  <c r="G6" i="2"/>
  <c r="F6" i="2"/>
  <c r="C23" i="1"/>
  <c r="R32" i="1"/>
  <c r="R31" i="1"/>
  <c r="R30" i="1"/>
  <c r="S29" i="1"/>
  <c r="R29" i="1"/>
  <c r="Q29" i="1"/>
  <c r="S28" i="1"/>
  <c r="R28" i="1"/>
  <c r="Q28" i="1"/>
  <c r="S27" i="1"/>
  <c r="R27" i="1"/>
  <c r="Q27" i="1"/>
  <c r="U24" i="1"/>
  <c r="U23" i="1"/>
  <c r="U22" i="1"/>
  <c r="S24" i="1"/>
  <c r="R24" i="1"/>
  <c r="Q24" i="1"/>
  <c r="S23" i="1"/>
  <c r="R23" i="1"/>
  <c r="Q23" i="1"/>
  <c r="S22" i="1"/>
  <c r="R22" i="1"/>
  <c r="Q22" i="1"/>
  <c r="M15" i="1"/>
  <c r="I12" i="1"/>
  <c r="H12" i="1"/>
  <c r="G12" i="1"/>
  <c r="F12" i="1"/>
  <c r="E12" i="1"/>
  <c r="D12" i="1"/>
  <c r="C12" i="1"/>
  <c r="I11" i="1"/>
  <c r="H11" i="1"/>
  <c r="G11" i="1"/>
  <c r="F11" i="1"/>
  <c r="E11" i="1"/>
  <c r="I10" i="1"/>
  <c r="H10" i="1"/>
  <c r="G10" i="1"/>
  <c r="F10" i="1"/>
  <c r="E10" i="1"/>
  <c r="I9" i="1"/>
  <c r="H9" i="1"/>
  <c r="G9" i="1"/>
  <c r="F9" i="1"/>
  <c r="E9" i="1"/>
  <c r="I8" i="1"/>
  <c r="H8" i="1"/>
  <c r="G8" i="1"/>
  <c r="F8" i="1"/>
  <c r="E8" i="1"/>
  <c r="I7" i="1"/>
  <c r="H7" i="1"/>
  <c r="G7" i="1"/>
  <c r="F7" i="1"/>
  <c r="E7" i="1"/>
  <c r="I6" i="1"/>
  <c r="H6" i="1"/>
  <c r="G6" i="1"/>
  <c r="F6" i="1"/>
  <c r="E6" i="1"/>
  <c r="K10" i="2" l="1"/>
  <c r="K9" i="2"/>
  <c r="K7" i="2"/>
  <c r="K11" i="2"/>
  <c r="K8" i="2"/>
  <c r="K6" i="2"/>
  <c r="L11" i="2"/>
  <c r="L9" i="2"/>
  <c r="L8" i="2"/>
  <c r="L7" i="2"/>
  <c r="L6" i="2"/>
  <c r="L10" i="2"/>
  <c r="J8" i="1"/>
  <c r="J6" i="1"/>
  <c r="J11" i="1"/>
  <c r="J10" i="1"/>
  <c r="J9" i="1"/>
  <c r="J7" i="1"/>
  <c r="K11" i="1"/>
  <c r="K8" i="1"/>
  <c r="K10" i="1"/>
  <c r="K9" i="1"/>
  <c r="K6" i="1"/>
  <c r="K12" i="1" s="1"/>
  <c r="K7" i="1"/>
  <c r="K12" i="2" l="1"/>
  <c r="L12" i="2"/>
  <c r="J12" i="1"/>
  <c r="C18" i="2" l="1"/>
  <c r="C19" i="2" s="1"/>
  <c r="C16" i="2"/>
  <c r="C17" i="2" s="1"/>
  <c r="C18" i="1"/>
  <c r="C19" i="1" s="1"/>
  <c r="C16" i="1"/>
  <c r="C17" i="1" s="1"/>
</calcChain>
</file>

<file path=xl/sharedStrings.xml><?xml version="1.0" encoding="utf-8"?>
<sst xmlns="http://schemas.openxmlformats.org/spreadsheetml/2006/main" count="119" uniqueCount="71">
  <si>
    <t>Ejemplo</t>
  </si>
  <si>
    <t>P2(x) = a0 + a1 x + a2 x^2</t>
  </si>
  <si>
    <t>i</t>
  </si>
  <si>
    <t>xi</t>
  </si>
  <si>
    <t>yi</t>
  </si>
  <si>
    <t>xi^2</t>
  </si>
  <si>
    <t>xi^3</t>
  </si>
  <si>
    <t>xi^4</t>
  </si>
  <si>
    <t>xi*yi</t>
  </si>
  <si>
    <t>xi^2*yi</t>
  </si>
  <si>
    <t>(P2-yi)^2</t>
  </si>
  <si>
    <t>(yi-ybar)^2</t>
  </si>
  <si>
    <t>suma</t>
  </si>
  <si>
    <t>m=</t>
  </si>
  <si>
    <t>n+1=</t>
  </si>
  <si>
    <t>media y</t>
  </si>
  <si>
    <t>Q=</t>
  </si>
  <si>
    <t>Sy/x=</t>
  </si>
  <si>
    <t>r^2=</t>
  </si>
  <si>
    <t>r=</t>
  </si>
  <si>
    <t>C</t>
  </si>
  <si>
    <t>b</t>
  </si>
  <si>
    <t>inv(C)</t>
  </si>
  <si>
    <t>a=</t>
  </si>
  <si>
    <t>a0</t>
  </si>
  <si>
    <t>a1</t>
  </si>
  <si>
    <t>a2</t>
  </si>
  <si>
    <t>P2(x)=</t>
  </si>
  <si>
    <t>a0 + a1 x + a2 x^2</t>
  </si>
  <si>
    <t>x=</t>
  </si>
  <si>
    <t>P2(7)=</t>
  </si>
  <si>
    <t>Conclusión:</t>
  </si>
  <si>
    <t>P2(x)=2.4786+2.3593x+1.8607x^2.  r^2 alto, el ajuste es bueno.</t>
  </si>
  <si>
    <t>Grafica</t>
  </si>
  <si>
    <t>Evidencias Octave (Ventana de comandos)</t>
  </si>
  <si>
    <t>x e y</t>
  </si>
  <si>
    <t>plot, f y ezplot</t>
  </si>
  <si>
    <t>y = a0 + a1 x1 + a2 x2 + e</t>
  </si>
  <si>
    <t>Los datos se calcularon con y = 5 + 4 x1 - 3 x2. Ajustar por regresion lineal multiple.</t>
  </si>
  <si>
    <t>x1</t>
  </si>
  <si>
    <t>x2</t>
  </si>
  <si>
    <t>y</t>
  </si>
  <si>
    <t>x1^2</t>
  </si>
  <si>
    <t>x2^2</t>
  </si>
  <si>
    <t>x1*x2</t>
  </si>
  <si>
    <t>x1*y</t>
  </si>
  <si>
    <t>x2*y</t>
  </si>
  <si>
    <t>(yp-y)^2</t>
  </si>
  <si>
    <t>(y-ybar)^2</t>
  </si>
  <si>
    <t>k=</t>
  </si>
  <si>
    <t>n=</t>
  </si>
  <si>
    <t>yp=</t>
  </si>
  <si>
    <t>a0 + a1 x1 + a2 x2</t>
  </si>
  <si>
    <t>a0=5, a1=4, a2=-3.  El plano es y=5+4x1-3x2.  Q=0, el ajuste es exacto.</t>
  </si>
  <si>
    <t>x1, x2 e y</t>
  </si>
  <si>
    <t>C, b y a</t>
  </si>
  <si>
    <t>C a = b</t>
  </si>
  <si>
    <t>n+1</t>
  </si>
  <si>
    <t>sum xi</t>
  </si>
  <si>
    <t>sum xi^2</t>
  </si>
  <si>
    <t>sum xi^3</t>
  </si>
  <si>
    <t>sum xi^4</t>
  </si>
  <si>
    <t>a</t>
  </si>
  <si>
    <t>sum yi</t>
  </si>
  <si>
    <t>sum xi yi</t>
  </si>
  <si>
    <t>sum xi^2 yi</t>
  </si>
  <si>
    <t>c</t>
  </si>
  <si>
    <t>a=inv(c)*b</t>
  </si>
  <si>
    <t>a0+a1x+a2x^2</t>
  </si>
  <si>
    <t>a0=2.4786 , a1=2.3593 , a2=1.8607</t>
  </si>
  <si>
    <t>b , a=inv(c)*b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</si>
</sst>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614362</xdr:colOff>
      <xdr:row>27</xdr:row>
      <xdr:rowOff>0</xdr:rowOff>
    </xdr:from>
    <xdr:to>
      <xdr:col>7</xdr:col>
      <xdr:colOff>655637</xdr:colOff>
      <xdr:row>34</xdr:row>
      <xdr:rowOff>4219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40D0EB-A7C3-9A5C-13F4-67FAE8938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" y="5105400"/>
          <a:ext cx="5842000" cy="43904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8</xdr:col>
      <xdr:colOff>517525</xdr:colOff>
      <xdr:row>54</xdr:row>
      <xdr:rowOff>52987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EFEDD9-26F6-8FC1-EAF9-13551F3E6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3" y="12206288"/>
          <a:ext cx="6604000" cy="43297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8</xdr:col>
      <xdr:colOff>517525</xdr:colOff>
      <xdr:row>70</xdr:row>
      <xdr:rowOff>2331383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6874CDE-5B35-9779-8A53-4FEEFB12C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3" y="19378613"/>
          <a:ext cx="6604000" cy="23313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614362</xdr:colOff>
      <xdr:row>27</xdr:row>
      <xdr:rowOff>0</xdr:rowOff>
    </xdr:from>
    <xdr:to>
      <xdr:col>8</xdr:col>
      <xdr:colOff>41274</xdr:colOff>
      <xdr:row>34</xdr:row>
      <xdr:rowOff>4219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71D6D7-A81D-1F90-57C6-543FBA0BC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" y="5381625"/>
          <a:ext cx="5842000" cy="43904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1</xdr:rowOff>
    </xdr:from>
    <xdr:to>
      <xdr:col>8</xdr:col>
      <xdr:colOff>803275</xdr:colOff>
      <xdr:row>62</xdr:row>
      <xdr:rowOff>146508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156CCE-F933-FCC0-2158-F4A7305EB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3" y="12482514"/>
          <a:ext cx="6604000" cy="61282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8</xdr:col>
      <xdr:colOff>803275</xdr:colOff>
      <xdr:row>77</xdr:row>
      <xdr:rowOff>52987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FF1BC2B-DAD1-2968-7E7A-F81BD1315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3" y="20273963"/>
          <a:ext cx="6604000" cy="43297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8</xdr:col>
      <xdr:colOff>65088</xdr:colOff>
      <xdr:row>34</xdr:row>
      <xdr:rowOff>1836455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3A0707-8980-4578-EE90-89D85B4B9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8" y="6610350"/>
          <a:ext cx="7366000" cy="18364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7</xdr:col>
      <xdr:colOff>854075</xdr:colOff>
      <xdr:row>46</xdr:row>
      <xdr:rowOff>3205271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87D33E-4AF4-0BCC-B336-BAF72C84C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238" y="10629900"/>
          <a:ext cx="7112000" cy="3205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3BF2-C799-4252-99F2-586CCBBDB62A}">
  <dimension ref="A2:U71"/>
  <sheetViews>
    <sheetView workbookViewId="0"/>
  </sheetViews>
  <sheetFormatPr defaultRowHeight="14.25" x14ac:dyDescent="0.45"/>
  <cols>
    <col min="1" max="2" width="8.59765625" style="1" customWidth="1"/>
    <col min="3" max="3" width="11.59765625" style="1" customWidth="1"/>
    <col min="4" max="6" width="12.59765625" style="1" customWidth="1"/>
    <col min="7" max="7" width="14.59765625" style="1" customWidth="1"/>
    <col min="8" max="8" width="12.59765625" style="1" customWidth="1"/>
    <col min="9" max="9" width="14.59765625" style="1" customWidth="1"/>
    <col min="10" max="11" width="16.59765625" style="1" customWidth="1"/>
    <col min="12" max="12" width="4.59765625" style="1" customWidth="1"/>
    <col min="13" max="13" width="14.59765625" style="1" customWidth="1"/>
    <col min="14" max="16" width="12.59765625" style="1" customWidth="1"/>
    <col min="17" max="19" width="14.59765625" style="1" customWidth="1"/>
    <col min="20" max="20" width="12.59765625" style="1" customWidth="1"/>
    <col min="21" max="21" width="14.59765625" style="1" customWidth="1"/>
    <col min="22" max="23" width="12.59765625" style="1" customWidth="1"/>
    <col min="24" max="16384" width="9.06640625" style="1"/>
  </cols>
  <sheetData>
    <row r="2" spans="1:13" ht="18" x14ac:dyDescent="0.55000000000000004">
      <c r="A2" s="1" t="s">
        <v>0</v>
      </c>
      <c r="B2" s="2" t="s">
        <v>1</v>
      </c>
    </row>
    <row r="5" spans="1:13" x14ac:dyDescent="0.45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</row>
    <row r="6" spans="1:13" x14ac:dyDescent="0.45">
      <c r="B6" s="5">
        <v>1</v>
      </c>
      <c r="C6" s="6">
        <v>0</v>
      </c>
      <c r="D6" s="6">
        <v>2.1</v>
      </c>
      <c r="E6" s="6">
        <f t="shared" ref="E6:E11" si="0">C6*C6</f>
        <v>0</v>
      </c>
      <c r="F6" s="6">
        <f t="shared" ref="F6:F11" si="1">C6*C6*C6</f>
        <v>0</v>
      </c>
      <c r="G6" s="6">
        <f t="shared" ref="G6:G11" si="2">C6*C6*C6*C6</f>
        <v>0</v>
      </c>
      <c r="H6" s="6">
        <f t="shared" ref="H6:H11" si="3">C6*D6</f>
        <v>0</v>
      </c>
      <c r="I6" s="6">
        <f t="shared" ref="I6:I11" si="4">E6*D6</f>
        <v>0</v>
      </c>
      <c r="J6" s="6">
        <f t="shared" ref="J6:J11" si="5">($R$30+$R$31*C6+$R$32*E6-D6)^2</f>
        <v>0.14331632653056853</v>
      </c>
      <c r="K6" s="6">
        <f t="shared" ref="K6:K11" si="6">(D6-$M$15)^2</f>
        <v>544.44444444444434</v>
      </c>
    </row>
    <row r="7" spans="1:13" x14ac:dyDescent="0.45">
      <c r="B7" s="5">
        <v>2</v>
      </c>
      <c r="C7" s="6">
        <v>1</v>
      </c>
      <c r="D7" s="6">
        <v>7.7</v>
      </c>
      <c r="E7" s="6">
        <f t="shared" si="0"/>
        <v>1</v>
      </c>
      <c r="F7" s="6">
        <f t="shared" si="1"/>
        <v>1</v>
      </c>
      <c r="G7" s="6">
        <f t="shared" si="2"/>
        <v>1</v>
      </c>
      <c r="H7" s="6">
        <f t="shared" si="3"/>
        <v>7.7</v>
      </c>
      <c r="I7" s="6">
        <f t="shared" si="4"/>
        <v>7.7</v>
      </c>
      <c r="J7" s="6">
        <f t="shared" si="5"/>
        <v>1.0028591836732743</v>
      </c>
      <c r="K7" s="6">
        <f t="shared" si="6"/>
        <v>314.47111111111116</v>
      </c>
    </row>
    <row r="8" spans="1:13" x14ac:dyDescent="0.45">
      <c r="B8" s="5">
        <v>3</v>
      </c>
      <c r="C8" s="6">
        <v>2</v>
      </c>
      <c r="D8" s="6">
        <v>13.6</v>
      </c>
      <c r="E8" s="6">
        <f t="shared" si="0"/>
        <v>4</v>
      </c>
      <c r="F8" s="6">
        <f t="shared" si="1"/>
        <v>8</v>
      </c>
      <c r="G8" s="6">
        <f t="shared" si="2"/>
        <v>16</v>
      </c>
      <c r="H8" s="6">
        <f t="shared" si="3"/>
        <v>27.2</v>
      </c>
      <c r="I8" s="6">
        <f t="shared" si="4"/>
        <v>54.4</v>
      </c>
      <c r="J8" s="6">
        <f t="shared" si="5"/>
        <v>1.0816000000005044</v>
      </c>
      <c r="K8" s="6">
        <f t="shared" si="6"/>
        <v>140.0277777777778</v>
      </c>
    </row>
    <row r="9" spans="1:13" x14ac:dyDescent="0.45">
      <c r="B9" s="5">
        <v>4</v>
      </c>
      <c r="C9" s="6">
        <v>3</v>
      </c>
      <c r="D9" s="6">
        <v>27.2</v>
      </c>
      <c r="E9" s="6">
        <f t="shared" si="0"/>
        <v>9</v>
      </c>
      <c r="F9" s="6">
        <f t="shared" si="1"/>
        <v>27</v>
      </c>
      <c r="G9" s="6">
        <f t="shared" si="2"/>
        <v>81</v>
      </c>
      <c r="H9" s="6">
        <f t="shared" si="3"/>
        <v>81.599999999999994</v>
      </c>
      <c r="I9" s="6">
        <f t="shared" si="4"/>
        <v>244.79999999999998</v>
      </c>
      <c r="J9" s="6">
        <f t="shared" si="5"/>
        <v>0.80486530612177265</v>
      </c>
      <c r="K9" s="6">
        <f t="shared" si="6"/>
        <v>3.1211111111111078</v>
      </c>
    </row>
    <row r="10" spans="1:13" x14ac:dyDescent="0.45">
      <c r="B10" s="5">
        <v>5</v>
      </c>
      <c r="C10" s="6">
        <v>4</v>
      </c>
      <c r="D10" s="6">
        <v>40.9</v>
      </c>
      <c r="E10" s="6">
        <f t="shared" si="0"/>
        <v>16</v>
      </c>
      <c r="F10" s="6">
        <f t="shared" si="1"/>
        <v>64</v>
      </c>
      <c r="G10" s="6">
        <f t="shared" si="2"/>
        <v>256</v>
      </c>
      <c r="H10" s="6">
        <f t="shared" si="3"/>
        <v>163.6</v>
      </c>
      <c r="I10" s="6">
        <f t="shared" si="4"/>
        <v>654.4</v>
      </c>
      <c r="J10" s="6">
        <f t="shared" si="5"/>
        <v>0.61959387755180939</v>
      </c>
      <c r="K10" s="6">
        <f t="shared" si="6"/>
        <v>239.21777777777771</v>
      </c>
    </row>
    <row r="11" spans="1:13" x14ac:dyDescent="0.45">
      <c r="B11" s="5">
        <v>6</v>
      </c>
      <c r="C11" s="6">
        <v>5</v>
      </c>
      <c r="D11" s="6">
        <v>61.1</v>
      </c>
      <c r="E11" s="6">
        <f t="shared" si="0"/>
        <v>25</v>
      </c>
      <c r="F11" s="6">
        <f t="shared" si="1"/>
        <v>125</v>
      </c>
      <c r="G11" s="6">
        <f t="shared" si="2"/>
        <v>625</v>
      </c>
      <c r="H11" s="6">
        <f t="shared" si="3"/>
        <v>305.5</v>
      </c>
      <c r="I11" s="6">
        <f t="shared" si="4"/>
        <v>1527.5</v>
      </c>
      <c r="J11" s="6">
        <f t="shared" si="5"/>
        <v>9.4336734693502053E-2</v>
      </c>
      <c r="K11" s="6">
        <f t="shared" si="6"/>
        <v>1272.1111111111115</v>
      </c>
    </row>
    <row r="12" spans="1:13" x14ac:dyDescent="0.45">
      <c r="B12" s="5" t="s">
        <v>12</v>
      </c>
      <c r="C12" s="6">
        <f t="shared" ref="C12:K12" si="7">SUM(C6:C11)</f>
        <v>15</v>
      </c>
      <c r="D12" s="6">
        <f t="shared" si="7"/>
        <v>152.6</v>
      </c>
      <c r="E12" s="6">
        <f t="shared" si="7"/>
        <v>55</v>
      </c>
      <c r="F12" s="6">
        <f t="shared" si="7"/>
        <v>225</v>
      </c>
      <c r="G12" s="6">
        <f t="shared" si="7"/>
        <v>979</v>
      </c>
      <c r="H12" s="6">
        <f t="shared" si="7"/>
        <v>585.6</v>
      </c>
      <c r="I12" s="6">
        <f t="shared" si="7"/>
        <v>2488.8000000000002</v>
      </c>
      <c r="J12" s="6">
        <f t="shared" si="7"/>
        <v>3.746571428571432</v>
      </c>
      <c r="K12" s="6">
        <f t="shared" si="7"/>
        <v>2513.3933333333334</v>
      </c>
    </row>
    <row r="14" spans="1:13" x14ac:dyDescent="0.45">
      <c r="B14" s="1" t="s">
        <v>13</v>
      </c>
      <c r="C14" s="1">
        <v>2</v>
      </c>
    </row>
    <row r="15" spans="1:13" x14ac:dyDescent="0.45">
      <c r="B15" s="1" t="s">
        <v>14</v>
      </c>
      <c r="C15" s="1">
        <v>6</v>
      </c>
      <c r="L15" s="1" t="s">
        <v>15</v>
      </c>
      <c r="M15" s="7">
        <f>AVERAGE(D6:D11)</f>
        <v>25.433333333333334</v>
      </c>
    </row>
    <row r="16" spans="1:13" x14ac:dyDescent="0.45">
      <c r="B16" s="1" t="s">
        <v>16</v>
      </c>
      <c r="C16" s="7">
        <f>J12</f>
        <v>3.746571428571432</v>
      </c>
    </row>
    <row r="17" spans="2:21" x14ac:dyDescent="0.45">
      <c r="B17" s="1" t="s">
        <v>17</v>
      </c>
      <c r="C17" s="7">
        <f>SQRT(C16/(C15-(C14+1)))</f>
        <v>1.1175227706213167</v>
      </c>
    </row>
    <row r="18" spans="2:21" x14ac:dyDescent="0.45">
      <c r="B18" s="1" t="s">
        <v>18</v>
      </c>
      <c r="C18" s="7">
        <f>(K12-J12)/K12</f>
        <v>0.99850935729840484</v>
      </c>
    </row>
    <row r="19" spans="2:21" x14ac:dyDescent="0.45">
      <c r="B19" s="1" t="s">
        <v>19</v>
      </c>
      <c r="C19" s="7">
        <f>SQRT(C18)</f>
        <v>0.9992544006900369</v>
      </c>
    </row>
    <row r="21" spans="2:21" x14ac:dyDescent="0.45">
      <c r="B21" s="1" t="s">
        <v>27</v>
      </c>
      <c r="C21" s="1" t="s">
        <v>28</v>
      </c>
      <c r="Q21" s="3" t="s">
        <v>20</v>
      </c>
      <c r="U21" s="3" t="s">
        <v>21</v>
      </c>
    </row>
    <row r="22" spans="2:21" x14ac:dyDescent="0.45">
      <c r="B22" s="1" t="s">
        <v>29</v>
      </c>
      <c r="C22" s="7">
        <v>7</v>
      </c>
      <c r="Q22" s="6">
        <f>C15</f>
        <v>6</v>
      </c>
      <c r="R22" s="6">
        <f>C12</f>
        <v>15</v>
      </c>
      <c r="S22" s="6">
        <f>E12</f>
        <v>55</v>
      </c>
      <c r="T22" s="7"/>
      <c r="U22" s="6">
        <f>D12</f>
        <v>152.6</v>
      </c>
    </row>
    <row r="23" spans="2:21" x14ac:dyDescent="0.45">
      <c r="B23" s="1" t="s">
        <v>30</v>
      </c>
      <c r="C23" s="7">
        <f>R30+R31*C22+R32*C22*C22</f>
        <v>110.16857142857224</v>
      </c>
      <c r="Q23" s="6">
        <f>C12</f>
        <v>15</v>
      </c>
      <c r="R23" s="6">
        <f>E12</f>
        <v>55</v>
      </c>
      <c r="S23" s="6">
        <f>F12</f>
        <v>225</v>
      </c>
      <c r="T23" s="7"/>
      <c r="U23" s="6">
        <f>H12</f>
        <v>585.6</v>
      </c>
    </row>
    <row r="24" spans="2:21" x14ac:dyDescent="0.45">
      <c r="Q24" s="6">
        <f>E12</f>
        <v>55</v>
      </c>
      <c r="R24" s="6">
        <f>F12</f>
        <v>225</v>
      </c>
      <c r="S24" s="6">
        <f>G12</f>
        <v>979</v>
      </c>
      <c r="T24" s="7"/>
      <c r="U24" s="6">
        <f>I12</f>
        <v>2488.8000000000002</v>
      </c>
    </row>
    <row r="25" spans="2:21" ht="28.05" customHeight="1" x14ac:dyDescent="0.45">
      <c r="B25" s="1" t="s">
        <v>31</v>
      </c>
      <c r="C25" s="9" t="s">
        <v>32</v>
      </c>
      <c r="D25" s="9"/>
      <c r="E25" s="9"/>
      <c r="F25" s="9"/>
      <c r="G25" s="9"/>
      <c r="H25" s="9"/>
      <c r="I25" s="9"/>
      <c r="J25" s="9"/>
      <c r="K25" s="9"/>
    </row>
    <row r="26" spans="2:21" x14ac:dyDescent="0.45">
      <c r="Q26" s="3" t="s">
        <v>22</v>
      </c>
    </row>
    <row r="27" spans="2:21" x14ac:dyDescent="0.45">
      <c r="B27" s="3" t="s">
        <v>33</v>
      </c>
      <c r="Q27" s="6">
        <f>INDEX(MINVERSE($Q$22:$S$24),1,1)</f>
        <v>0.82142857142857073</v>
      </c>
      <c r="R27" s="6">
        <f>INDEX(MINVERSE($Q$22:$S$24),1,2)</f>
        <v>-0.58928571428571364</v>
      </c>
      <c r="S27" s="6">
        <f>INDEX(MINVERSE($Q$22:$S$24),1,3)</f>
        <v>8.9285714285714135E-2</v>
      </c>
    </row>
    <row r="28" spans="2:21" ht="260" customHeight="1" x14ac:dyDescent="0.45">
      <c r="Q28" s="6">
        <f>INDEX(MINVERSE($Q$22:$S$24),2,1)</f>
        <v>-0.58928571428571308</v>
      </c>
      <c r="R28" s="6">
        <f>INDEX(MINVERSE($Q$22:$S$24),2,2)</f>
        <v>0.72678571428571292</v>
      </c>
      <c r="S28" s="6">
        <f>INDEX(MINVERSE($Q$22:$S$24),2,3)</f>
        <v>-0.13392857142857115</v>
      </c>
    </row>
    <row r="29" spans="2:21" x14ac:dyDescent="0.45">
      <c r="Q29" s="6">
        <f>INDEX(MINVERSE($Q$22:$S$24),3,1)</f>
        <v>8.9285714285714052E-2</v>
      </c>
      <c r="R29" s="6">
        <f>INDEX(MINVERSE($Q$22:$S$24),3,2)</f>
        <v>-0.13392857142857115</v>
      </c>
      <c r="S29" s="6">
        <f>INDEX(MINVERSE($Q$22:$S$24),3,3)</f>
        <v>2.6785714285714229E-2</v>
      </c>
    </row>
    <row r="30" spans="2:21" x14ac:dyDescent="0.45">
      <c r="Q30" s="3" t="s">
        <v>23</v>
      </c>
      <c r="R30" s="6">
        <f>INDEX(MMULT(MINVERSE($Q$22:$S$24),$U$22:$U$24),1,1)</f>
        <v>2.4785714285713709</v>
      </c>
      <c r="S30" s="1" t="s">
        <v>24</v>
      </c>
    </row>
    <row r="31" spans="2:21" x14ac:dyDescent="0.45">
      <c r="R31" s="6">
        <f>INDEX(MMULT(MINVERSE($Q$22:$S$24),$U$22:$U$24),2,1)</f>
        <v>2.3592857142858747</v>
      </c>
      <c r="S31" s="1" t="s">
        <v>25</v>
      </c>
    </row>
    <row r="32" spans="2:21" x14ac:dyDescent="0.45">
      <c r="R32" s="6">
        <f>INDEX(MMULT(MINVERSE($Q$22:$S$24),$U$22:$U$24),3,1)</f>
        <v>1.8607142857142804</v>
      </c>
      <c r="S32" s="1" t="s">
        <v>26</v>
      </c>
    </row>
    <row r="48" spans="2:2" x14ac:dyDescent="0.45">
      <c r="B48" s="3" t="s">
        <v>34</v>
      </c>
    </row>
    <row r="49" spans="2:2" x14ac:dyDescent="0.45">
      <c r="B49" s="1" t="s">
        <v>35</v>
      </c>
    </row>
    <row r="50" spans="2:2" ht="280.05" customHeight="1" x14ac:dyDescent="0.45"/>
    <row r="70" spans="2:2" x14ac:dyDescent="0.45">
      <c r="B70" s="1" t="s">
        <v>36</v>
      </c>
    </row>
    <row r="71" spans="2:2" ht="220.05" customHeight="1" x14ac:dyDescent="0.45"/>
  </sheetData>
  <mergeCells count="1">
    <mergeCell ref="C25:K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619E-EDAD-41D9-AE19-5A100BC7E802}">
  <dimension ref="A2:U73"/>
  <sheetViews>
    <sheetView workbookViewId="0"/>
  </sheetViews>
  <sheetFormatPr defaultRowHeight="14.25" x14ac:dyDescent="0.45"/>
  <cols>
    <col min="1" max="2" width="8.59765625" style="1" customWidth="1"/>
    <col min="3" max="5" width="11.59765625" style="1" customWidth="1"/>
    <col min="6" max="10" width="12.59765625" style="1" customWidth="1"/>
    <col min="11" max="12" width="16.59765625" style="1" customWidth="1"/>
    <col min="13" max="13" width="4.59765625" style="1" customWidth="1"/>
    <col min="14" max="14" width="14.59765625" style="1" customWidth="1"/>
    <col min="15" max="16" width="12.59765625" style="1" customWidth="1"/>
    <col min="17" max="19" width="14.59765625" style="1" customWidth="1"/>
    <col min="20" max="20" width="12.59765625" style="1" customWidth="1"/>
    <col min="21" max="21" width="14.59765625" style="1" customWidth="1"/>
    <col min="22" max="23" width="12.59765625" style="1" customWidth="1"/>
    <col min="24" max="16384" width="9.06640625" style="1"/>
  </cols>
  <sheetData>
    <row r="2" spans="1:13" ht="18" x14ac:dyDescent="0.55000000000000004">
      <c r="A2" s="1" t="s">
        <v>0</v>
      </c>
      <c r="B2" s="2" t="s">
        <v>37</v>
      </c>
    </row>
    <row r="3" spans="1:13" ht="36" customHeight="1" x14ac:dyDescent="0.55000000000000004">
      <c r="B3" s="8" t="s">
        <v>38</v>
      </c>
      <c r="C3" s="8"/>
      <c r="D3" s="8"/>
      <c r="E3" s="8"/>
      <c r="F3" s="8"/>
      <c r="G3" s="8"/>
      <c r="H3" s="8"/>
      <c r="I3" s="8"/>
      <c r="J3" s="8"/>
      <c r="K3" s="8"/>
    </row>
    <row r="5" spans="1:13" x14ac:dyDescent="0.45">
      <c r="B5" s="4" t="s">
        <v>2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46</v>
      </c>
      <c r="K5" s="4" t="s">
        <v>47</v>
      </c>
      <c r="L5" s="4" t="s">
        <v>48</v>
      </c>
    </row>
    <row r="6" spans="1:13" x14ac:dyDescent="0.45">
      <c r="B6" s="5">
        <v>1</v>
      </c>
      <c r="C6" s="6">
        <v>0</v>
      </c>
      <c r="D6" s="6">
        <v>0</v>
      </c>
      <c r="E6" s="6">
        <v>5</v>
      </c>
      <c r="F6" s="6">
        <f t="shared" ref="F6:G11" si="0">C6*C6</f>
        <v>0</v>
      </c>
      <c r="G6" s="6">
        <f t="shared" si="0"/>
        <v>0</v>
      </c>
      <c r="H6" s="6">
        <f t="shared" ref="H6:H11" si="1">C6*D6</f>
        <v>0</v>
      </c>
      <c r="I6" s="6">
        <f t="shared" ref="I6:I11" si="2">C6*E6</f>
        <v>0</v>
      </c>
      <c r="J6" s="6">
        <f t="shared" ref="J6:J11" si="3">D6*E6</f>
        <v>0</v>
      </c>
      <c r="K6" s="6">
        <f t="shared" ref="K6:K11" si="4">($R$30+$R$31*C6+$R$32*D6-E6)^2</f>
        <v>7.8886090522101181E-29</v>
      </c>
      <c r="L6" s="6">
        <f t="shared" ref="L6:L11" si="5">(E6-$M$15)^2</f>
        <v>16</v>
      </c>
    </row>
    <row r="7" spans="1:13" x14ac:dyDescent="0.45">
      <c r="B7" s="5">
        <v>2</v>
      </c>
      <c r="C7" s="6">
        <v>2</v>
      </c>
      <c r="D7" s="6">
        <v>1</v>
      </c>
      <c r="E7" s="6">
        <v>10</v>
      </c>
      <c r="F7" s="6">
        <f t="shared" si="0"/>
        <v>4</v>
      </c>
      <c r="G7" s="6">
        <f t="shared" si="0"/>
        <v>1</v>
      </c>
      <c r="H7" s="6">
        <f t="shared" si="1"/>
        <v>2</v>
      </c>
      <c r="I7" s="6">
        <f t="shared" si="2"/>
        <v>20</v>
      </c>
      <c r="J7" s="6">
        <f t="shared" si="3"/>
        <v>10</v>
      </c>
      <c r="K7" s="6">
        <f t="shared" si="4"/>
        <v>2.8398992587956425E-29</v>
      </c>
      <c r="L7" s="6">
        <f t="shared" si="5"/>
        <v>1</v>
      </c>
    </row>
    <row r="8" spans="1:13" x14ac:dyDescent="0.45">
      <c r="B8" s="5">
        <v>3</v>
      </c>
      <c r="C8" s="6">
        <v>2.5</v>
      </c>
      <c r="D8" s="6">
        <v>2</v>
      </c>
      <c r="E8" s="6">
        <v>9</v>
      </c>
      <c r="F8" s="6">
        <f t="shared" si="0"/>
        <v>6.25</v>
      </c>
      <c r="G8" s="6">
        <f t="shared" si="0"/>
        <v>4</v>
      </c>
      <c r="H8" s="6">
        <f t="shared" si="1"/>
        <v>5</v>
      </c>
      <c r="I8" s="6">
        <f t="shared" si="2"/>
        <v>22.5</v>
      </c>
      <c r="J8" s="6">
        <f t="shared" si="3"/>
        <v>18</v>
      </c>
      <c r="K8" s="6">
        <f t="shared" si="4"/>
        <v>1.2621774483536189E-29</v>
      </c>
      <c r="L8" s="6">
        <f t="shared" si="5"/>
        <v>0</v>
      </c>
    </row>
    <row r="9" spans="1:13" x14ac:dyDescent="0.45">
      <c r="B9" s="5">
        <v>4</v>
      </c>
      <c r="C9" s="6">
        <v>1</v>
      </c>
      <c r="D9" s="6">
        <v>3</v>
      </c>
      <c r="E9" s="6">
        <v>0</v>
      </c>
      <c r="F9" s="6">
        <f t="shared" si="0"/>
        <v>1</v>
      </c>
      <c r="G9" s="6">
        <f t="shared" si="0"/>
        <v>9</v>
      </c>
      <c r="H9" s="6">
        <f t="shared" si="1"/>
        <v>3</v>
      </c>
      <c r="I9" s="6">
        <f t="shared" si="2"/>
        <v>0</v>
      </c>
      <c r="J9" s="6">
        <f t="shared" si="3"/>
        <v>0</v>
      </c>
      <c r="K9" s="6">
        <f t="shared" si="4"/>
        <v>3.1554436208840472E-30</v>
      </c>
      <c r="L9" s="6">
        <f t="shared" si="5"/>
        <v>81</v>
      </c>
    </row>
    <row r="10" spans="1:13" x14ac:dyDescent="0.45">
      <c r="B10" s="5">
        <v>5</v>
      </c>
      <c r="C10" s="6">
        <v>4</v>
      </c>
      <c r="D10" s="6">
        <v>6</v>
      </c>
      <c r="E10" s="6">
        <v>3</v>
      </c>
      <c r="F10" s="6">
        <f t="shared" si="0"/>
        <v>16</v>
      </c>
      <c r="G10" s="6">
        <f t="shared" si="0"/>
        <v>36</v>
      </c>
      <c r="H10" s="6">
        <f t="shared" si="1"/>
        <v>24</v>
      </c>
      <c r="I10" s="6">
        <f t="shared" si="2"/>
        <v>12</v>
      </c>
      <c r="J10" s="6">
        <f t="shared" si="3"/>
        <v>18</v>
      </c>
      <c r="K10" s="6">
        <f t="shared" si="4"/>
        <v>1.2621774483536189E-29</v>
      </c>
      <c r="L10" s="6">
        <f t="shared" si="5"/>
        <v>36</v>
      </c>
    </row>
    <row r="11" spans="1:13" x14ac:dyDescent="0.45">
      <c r="B11" s="5">
        <v>6</v>
      </c>
      <c r="C11" s="6">
        <v>7</v>
      </c>
      <c r="D11" s="6">
        <v>2</v>
      </c>
      <c r="E11" s="6">
        <v>27</v>
      </c>
      <c r="F11" s="6">
        <f t="shared" si="0"/>
        <v>49</v>
      </c>
      <c r="G11" s="6">
        <f t="shared" si="0"/>
        <v>4</v>
      </c>
      <c r="H11" s="6">
        <f t="shared" si="1"/>
        <v>14</v>
      </c>
      <c r="I11" s="6">
        <f t="shared" si="2"/>
        <v>189</v>
      </c>
      <c r="J11" s="6">
        <f t="shared" si="3"/>
        <v>54</v>
      </c>
      <c r="K11" s="6">
        <f t="shared" si="4"/>
        <v>1.2621774483536189E-29</v>
      </c>
      <c r="L11" s="6">
        <f t="shared" si="5"/>
        <v>324</v>
      </c>
    </row>
    <row r="12" spans="1:13" x14ac:dyDescent="0.45">
      <c r="B12" s="5" t="s">
        <v>12</v>
      </c>
      <c r="C12" s="6">
        <f t="shared" ref="C12:L12" si="6">SUM(C6:C11)</f>
        <v>16.5</v>
      </c>
      <c r="D12" s="6">
        <f t="shared" si="6"/>
        <v>14</v>
      </c>
      <c r="E12" s="6">
        <f t="shared" si="6"/>
        <v>54</v>
      </c>
      <c r="F12" s="6">
        <f t="shared" si="6"/>
        <v>76.25</v>
      </c>
      <c r="G12" s="6">
        <f t="shared" si="6"/>
        <v>54</v>
      </c>
      <c r="H12" s="6">
        <f t="shared" si="6"/>
        <v>48</v>
      </c>
      <c r="I12" s="6">
        <f t="shared" si="6"/>
        <v>243.5</v>
      </c>
      <c r="J12" s="6">
        <f t="shared" si="6"/>
        <v>100</v>
      </c>
      <c r="K12" s="6">
        <f t="shared" si="6"/>
        <v>1.4830585018155022E-28</v>
      </c>
      <c r="L12" s="6">
        <f t="shared" si="6"/>
        <v>458</v>
      </c>
    </row>
    <row r="14" spans="1:13" x14ac:dyDescent="0.45">
      <c r="B14" s="1" t="s">
        <v>49</v>
      </c>
      <c r="C14" s="1">
        <v>2</v>
      </c>
    </row>
    <row r="15" spans="1:13" x14ac:dyDescent="0.45">
      <c r="B15" s="1" t="s">
        <v>50</v>
      </c>
      <c r="C15" s="1">
        <v>6</v>
      </c>
      <c r="L15" s="1" t="s">
        <v>15</v>
      </c>
      <c r="M15" s="7">
        <f>AVERAGE(E6:E11)</f>
        <v>9</v>
      </c>
    </row>
    <row r="16" spans="1:13" x14ac:dyDescent="0.45">
      <c r="B16" s="1" t="s">
        <v>16</v>
      </c>
      <c r="C16" s="7">
        <f>K12</f>
        <v>1.4830585018155022E-28</v>
      </c>
    </row>
    <row r="17" spans="2:21" x14ac:dyDescent="0.45">
      <c r="B17" s="1" t="s">
        <v>17</v>
      </c>
      <c r="C17" s="7">
        <f>SQRT(C16/(C15-(C14+1)))</f>
        <v>7.0310229265626828E-15</v>
      </c>
    </row>
    <row r="18" spans="2:21" x14ac:dyDescent="0.45">
      <c r="B18" s="1" t="s">
        <v>18</v>
      </c>
      <c r="C18" s="7">
        <f>(L12-K12)/L12</f>
        <v>1</v>
      </c>
    </row>
    <row r="19" spans="2:21" x14ac:dyDescent="0.45">
      <c r="B19" s="1" t="s">
        <v>19</v>
      </c>
      <c r="C19" s="7">
        <f>SQRT(C18)</f>
        <v>1</v>
      </c>
    </row>
    <row r="21" spans="2:21" x14ac:dyDescent="0.45">
      <c r="B21" s="1" t="s">
        <v>51</v>
      </c>
      <c r="C21" s="1" t="s">
        <v>52</v>
      </c>
      <c r="Q21" s="3" t="s">
        <v>20</v>
      </c>
      <c r="U21" s="3" t="s">
        <v>21</v>
      </c>
    </row>
    <row r="22" spans="2:21" x14ac:dyDescent="0.45">
      <c r="Q22" s="6">
        <f>C15</f>
        <v>6</v>
      </c>
      <c r="R22" s="6">
        <f>C12</f>
        <v>16.5</v>
      </c>
      <c r="S22" s="6">
        <f>D12</f>
        <v>14</v>
      </c>
      <c r="T22" s="7"/>
      <c r="U22" s="6">
        <f>E12</f>
        <v>54</v>
      </c>
    </row>
    <row r="23" spans="2:21" x14ac:dyDescent="0.45">
      <c r="Q23" s="6">
        <f>C12</f>
        <v>16.5</v>
      </c>
      <c r="R23" s="6">
        <f>F12</f>
        <v>76.25</v>
      </c>
      <c r="S23" s="6">
        <f>H12</f>
        <v>48</v>
      </c>
      <c r="T23" s="7"/>
      <c r="U23" s="6">
        <f>I12</f>
        <v>243.5</v>
      </c>
    </row>
    <row r="24" spans="2:21" x14ac:dyDescent="0.45">
      <c r="Q24" s="6">
        <f>D12</f>
        <v>14</v>
      </c>
      <c r="R24" s="6">
        <f>H12</f>
        <v>48</v>
      </c>
      <c r="S24" s="6">
        <f>G12</f>
        <v>54</v>
      </c>
      <c r="T24" s="7"/>
      <c r="U24" s="6">
        <f>J12</f>
        <v>100</v>
      </c>
    </row>
    <row r="25" spans="2:21" ht="28.05" customHeight="1" x14ac:dyDescent="0.45">
      <c r="B25" s="1" t="s">
        <v>31</v>
      </c>
      <c r="C25" s="9" t="s">
        <v>53</v>
      </c>
      <c r="D25" s="9"/>
      <c r="E25" s="9"/>
      <c r="F25" s="9"/>
      <c r="G25" s="9"/>
      <c r="H25" s="9"/>
      <c r="I25" s="9"/>
      <c r="J25" s="9"/>
      <c r="K25" s="9"/>
      <c r="L25" s="9"/>
    </row>
    <row r="26" spans="2:21" x14ac:dyDescent="0.45">
      <c r="Q26" s="3" t="s">
        <v>22</v>
      </c>
    </row>
    <row r="27" spans="2:21" x14ac:dyDescent="0.45">
      <c r="B27" s="3" t="s">
        <v>33</v>
      </c>
      <c r="Q27" s="6">
        <f>INDEX(MINVERSE($Q$22:$S$24),1,1)</f>
        <v>0.53174021404486149</v>
      </c>
      <c r="R27" s="6">
        <f>INDEX(MINVERSE($Q$22:$S$24),1,2)</f>
        <v>-6.421345843717928E-2</v>
      </c>
      <c r="S27" s="6">
        <f>INDEX(MINVERSE($Q$22:$S$24),1,3)</f>
        <v>-8.0779944289693581E-2</v>
      </c>
    </row>
    <row r="28" spans="2:21" ht="260" customHeight="1" x14ac:dyDescent="0.45">
      <c r="Q28" s="6">
        <f>INDEX(MINVERSE($Q$22:$S$24),2,1)</f>
        <v>-6.4213458437179294E-2</v>
      </c>
      <c r="R28" s="6">
        <f>INDEX(MINVERSE($Q$22:$S$24),2,2)</f>
        <v>3.7531153789766888E-2</v>
      </c>
      <c r="S28" s="6">
        <f>INDEX(MINVERSE($Q$22:$S$24),2,3)</f>
        <v>-1.6713091922005568E-2</v>
      </c>
    </row>
    <row r="29" spans="2:21" x14ac:dyDescent="0.45">
      <c r="Q29" s="6">
        <f>INDEX(MINVERSE($Q$22:$S$24),3,1)</f>
        <v>-8.0779944289693623E-2</v>
      </c>
      <c r="R29" s="6">
        <f>INDEX(MINVERSE($Q$22:$S$24),3,2)</f>
        <v>-1.6713091922005565E-2</v>
      </c>
      <c r="S29" s="6">
        <f>INDEX(MINVERSE($Q$22:$S$24),3,3)</f>
        <v>5.4317548746518104E-2</v>
      </c>
    </row>
    <row r="30" spans="2:21" x14ac:dyDescent="0.45">
      <c r="Q30" s="3" t="s">
        <v>23</v>
      </c>
      <c r="R30" s="6">
        <f>INDEX(MMULT(MINVERSE($Q$22:$S$24),$U$22:$U$24),1,1)</f>
        <v>5.0000000000000089</v>
      </c>
      <c r="S30" s="1" t="s">
        <v>24</v>
      </c>
    </row>
    <row r="31" spans="2:21" x14ac:dyDescent="0.45">
      <c r="R31" s="6">
        <f>INDEX(MMULT(MINVERSE($Q$22:$S$24),$U$22:$U$24),2,1)</f>
        <v>3.9999999999999991</v>
      </c>
      <c r="S31" s="1" t="s">
        <v>25</v>
      </c>
    </row>
    <row r="32" spans="2:21" x14ac:dyDescent="0.45">
      <c r="R32" s="6">
        <f>INDEX(MMULT(MINVERSE($Q$22:$S$24),$U$22:$U$24),3,1)</f>
        <v>-3.0000000000000018</v>
      </c>
      <c r="S32" s="1" t="s">
        <v>26</v>
      </c>
    </row>
    <row r="48" spans="2:2" x14ac:dyDescent="0.45">
      <c r="B48" s="3" t="s">
        <v>34</v>
      </c>
    </row>
    <row r="49" spans="2:2" x14ac:dyDescent="0.45">
      <c r="B49" s="1" t="s">
        <v>54</v>
      </c>
    </row>
    <row r="50" spans="2:2" ht="300" customHeight="1" x14ac:dyDescent="0.45"/>
    <row r="72" spans="2:2" x14ac:dyDescent="0.45">
      <c r="B72" s="1" t="s">
        <v>55</v>
      </c>
    </row>
    <row r="73" spans="2:2" ht="280.05" customHeight="1" x14ac:dyDescent="0.45"/>
  </sheetData>
  <mergeCells count="2">
    <mergeCell ref="B3:K3"/>
    <mergeCell ref="C25:L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4C6B-2C0A-48D1-AD17-D6D13E8D2CAC}">
  <dimension ref="A2:I47"/>
  <sheetViews>
    <sheetView tabSelected="1" workbookViewId="0"/>
  </sheetViews>
  <sheetFormatPr defaultRowHeight="14.25" x14ac:dyDescent="0.45"/>
  <cols>
    <col min="1" max="1" width="10.59765625" style="10" customWidth="1"/>
    <col min="2" max="9" width="14.59765625" style="10" customWidth="1"/>
    <col min="10" max="10" width="4.59765625" style="10" customWidth="1"/>
    <col min="11" max="11" width="12.59765625" style="10" customWidth="1"/>
    <col min="12" max="14" width="14.59765625" style="10" customWidth="1"/>
    <col min="15" max="15" width="12.59765625" style="10" customWidth="1"/>
    <col min="16" max="16" width="14.59765625" style="10" customWidth="1"/>
    <col min="17" max="20" width="12.59765625" style="10" customWidth="1"/>
    <col min="21" max="16384" width="9.06640625" style="10"/>
  </cols>
  <sheetData>
    <row r="2" spans="1:9" ht="18" x14ac:dyDescent="0.55000000000000004">
      <c r="A2" s="10" t="s">
        <v>0</v>
      </c>
      <c r="B2" s="11" t="s">
        <v>56</v>
      </c>
    </row>
    <row r="3" spans="1:9" ht="18" x14ac:dyDescent="0.55000000000000004">
      <c r="B3" s="11" t="s">
        <v>1</v>
      </c>
    </row>
    <row r="5" spans="1:9" x14ac:dyDescent="0.45">
      <c r="A5" s="12" t="s">
        <v>20</v>
      </c>
      <c r="B5" s="13" t="s">
        <v>57</v>
      </c>
      <c r="C5" s="13" t="s">
        <v>58</v>
      </c>
      <c r="D5" s="13" t="s">
        <v>59</v>
      </c>
      <c r="F5" s="12" t="s">
        <v>62</v>
      </c>
      <c r="H5" s="12" t="s">
        <v>21</v>
      </c>
    </row>
    <row r="6" spans="1:9" x14ac:dyDescent="0.45">
      <c r="B6" s="13" t="s">
        <v>58</v>
      </c>
      <c r="C6" s="13" t="s">
        <v>59</v>
      </c>
      <c r="D6" s="13" t="s">
        <v>60</v>
      </c>
      <c r="F6" s="13" t="s">
        <v>24</v>
      </c>
      <c r="H6" s="13" t="s">
        <v>63</v>
      </c>
    </row>
    <row r="7" spans="1:9" x14ac:dyDescent="0.45">
      <c r="B7" s="13" t="s">
        <v>59</v>
      </c>
      <c r="C7" s="13" t="s">
        <v>60</v>
      </c>
      <c r="D7" s="13" t="s">
        <v>61</v>
      </c>
      <c r="F7" s="13" t="s">
        <v>25</v>
      </c>
      <c r="H7" s="13" t="s">
        <v>64</v>
      </c>
    </row>
    <row r="8" spans="1:9" x14ac:dyDescent="0.45">
      <c r="F8" s="13" t="s">
        <v>26</v>
      </c>
      <c r="H8" s="13" t="s">
        <v>65</v>
      </c>
    </row>
    <row r="10" spans="1:9" x14ac:dyDescent="0.45">
      <c r="B10" s="14" t="s">
        <v>2</v>
      </c>
      <c r="C10" s="14" t="s">
        <v>3</v>
      </c>
      <c r="D10" s="14" t="s">
        <v>4</v>
      </c>
      <c r="E10" s="14" t="s">
        <v>5</v>
      </c>
      <c r="F10" s="14" t="s">
        <v>6</v>
      </c>
      <c r="G10" s="14" t="s">
        <v>7</v>
      </c>
      <c r="H10" s="14" t="s">
        <v>8</v>
      </c>
      <c r="I10" s="14" t="s">
        <v>9</v>
      </c>
    </row>
    <row r="11" spans="1:9" x14ac:dyDescent="0.45">
      <c r="B11" s="13">
        <v>1</v>
      </c>
      <c r="C11" s="15">
        <v>0</v>
      </c>
      <c r="D11" s="15">
        <v>2.1</v>
      </c>
      <c r="E11" s="15">
        <f>C11*C11</f>
        <v>0</v>
      </c>
      <c r="F11" s="15">
        <f>C11*C11*C11</f>
        <v>0</v>
      </c>
      <c r="G11" s="15">
        <f>C11*C11*C11*C11</f>
        <v>0</v>
      </c>
      <c r="H11" s="15">
        <f>C11*D11</f>
        <v>0</v>
      </c>
      <c r="I11" s="15">
        <f>E11*D11</f>
        <v>0</v>
      </c>
    </row>
    <row r="12" spans="1:9" x14ac:dyDescent="0.45">
      <c r="B12" s="13">
        <v>2</v>
      </c>
      <c r="C12" s="15">
        <v>1</v>
      </c>
      <c r="D12" s="15">
        <v>7.7</v>
      </c>
      <c r="E12" s="15">
        <f>C12*C12</f>
        <v>1</v>
      </c>
      <c r="F12" s="15">
        <f>C12*C12*C12</f>
        <v>1</v>
      </c>
      <c r="G12" s="15">
        <f>C12*C12*C12*C12</f>
        <v>1</v>
      </c>
      <c r="H12" s="15">
        <f>C12*D12</f>
        <v>7.7</v>
      </c>
      <c r="I12" s="15">
        <f>E12*D12</f>
        <v>7.7</v>
      </c>
    </row>
    <row r="13" spans="1:9" x14ac:dyDescent="0.45">
      <c r="B13" s="13">
        <v>3</v>
      </c>
      <c r="C13" s="15">
        <v>2</v>
      </c>
      <c r="D13" s="15">
        <v>13.6</v>
      </c>
      <c r="E13" s="15">
        <f>C13*C13</f>
        <v>4</v>
      </c>
      <c r="F13" s="15">
        <f>C13*C13*C13</f>
        <v>8</v>
      </c>
      <c r="G13" s="15">
        <f>C13*C13*C13*C13</f>
        <v>16</v>
      </c>
      <c r="H13" s="15">
        <f>C13*D13</f>
        <v>27.2</v>
      </c>
      <c r="I13" s="15">
        <f>E13*D13</f>
        <v>54.4</v>
      </c>
    </row>
    <row r="14" spans="1:9" x14ac:dyDescent="0.45">
      <c r="B14" s="13">
        <v>4</v>
      </c>
      <c r="C14" s="15">
        <v>3</v>
      </c>
      <c r="D14" s="15">
        <v>27.2</v>
      </c>
      <c r="E14" s="15">
        <f>C14*C14</f>
        <v>9</v>
      </c>
      <c r="F14" s="15">
        <f>C14*C14*C14</f>
        <v>27</v>
      </c>
      <c r="G14" s="15">
        <f>C14*C14*C14*C14</f>
        <v>81</v>
      </c>
      <c r="H14" s="15">
        <f>C14*D14</f>
        <v>81.599999999999994</v>
      </c>
      <c r="I14" s="15">
        <f>E14*D14</f>
        <v>244.79999999999998</v>
      </c>
    </row>
    <row r="15" spans="1:9" x14ac:dyDescent="0.45">
      <c r="B15" s="13">
        <v>5</v>
      </c>
      <c r="C15" s="15">
        <v>4</v>
      </c>
      <c r="D15" s="15">
        <v>40.9</v>
      </c>
      <c r="E15" s="15">
        <f>C15*C15</f>
        <v>16</v>
      </c>
      <c r="F15" s="15">
        <f>C15*C15*C15</f>
        <v>64</v>
      </c>
      <c r="G15" s="15">
        <f>C15*C15*C15*C15</f>
        <v>256</v>
      </c>
      <c r="H15" s="15">
        <f>C15*D15</f>
        <v>163.6</v>
      </c>
      <c r="I15" s="15">
        <f>E15*D15</f>
        <v>654.4</v>
      </c>
    </row>
    <row r="16" spans="1:9" x14ac:dyDescent="0.45">
      <c r="B16" s="13">
        <v>6</v>
      </c>
      <c r="C16" s="15">
        <v>5</v>
      </c>
      <c r="D16" s="15">
        <v>61.1</v>
      </c>
      <c r="E16" s="15">
        <f>C16*C16</f>
        <v>25</v>
      </c>
      <c r="F16" s="15">
        <f>C16*C16*C16</f>
        <v>125</v>
      </c>
      <c r="G16" s="15">
        <f>C16*C16*C16*C16</f>
        <v>625</v>
      </c>
      <c r="H16" s="15">
        <f>C16*D16</f>
        <v>305.5</v>
      </c>
      <c r="I16" s="15">
        <f>E16*D16</f>
        <v>1527.5</v>
      </c>
    </row>
    <row r="17" spans="2:9" x14ac:dyDescent="0.45">
      <c r="B17" s="13" t="s">
        <v>12</v>
      </c>
      <c r="C17" s="15">
        <f>SUM(C11:C16)</f>
        <v>15</v>
      </c>
      <c r="D17" s="15">
        <f>SUM(D11:D16)</f>
        <v>152.6</v>
      </c>
      <c r="E17" s="15">
        <f>SUM(E11:E16)</f>
        <v>55</v>
      </c>
      <c r="F17" s="15">
        <f>SUM(F11:F16)</f>
        <v>225</v>
      </c>
      <c r="G17" s="15">
        <f>SUM(G11:G16)</f>
        <v>979</v>
      </c>
      <c r="H17" s="15">
        <f>SUM(H11:H16)</f>
        <v>585.6</v>
      </c>
      <c r="I17" s="15">
        <f>SUM(I11:I16)</f>
        <v>2488.8000000000002</v>
      </c>
    </row>
    <row r="19" spans="2:9" x14ac:dyDescent="0.45">
      <c r="B19" s="10" t="s">
        <v>14</v>
      </c>
      <c r="C19" s="10">
        <v>6</v>
      </c>
    </row>
    <row r="20" spans="2:9" x14ac:dyDescent="0.45">
      <c r="B20" s="10" t="s">
        <v>13</v>
      </c>
      <c r="C20" s="10">
        <v>2</v>
      </c>
    </row>
    <row r="22" spans="2:9" x14ac:dyDescent="0.45">
      <c r="B22" s="12" t="s">
        <v>66</v>
      </c>
      <c r="C22" s="15">
        <f>C19</f>
        <v>6</v>
      </c>
      <c r="D22" s="15">
        <f>C17</f>
        <v>15</v>
      </c>
      <c r="E22" s="15">
        <f>E17</f>
        <v>55</v>
      </c>
      <c r="G22" s="12" t="s">
        <v>21</v>
      </c>
      <c r="H22" s="15">
        <f>D17</f>
        <v>152.6</v>
      </c>
    </row>
    <row r="23" spans="2:9" x14ac:dyDescent="0.45">
      <c r="C23" s="15">
        <f>C17</f>
        <v>15</v>
      </c>
      <c r="D23" s="15">
        <f>E17</f>
        <v>55</v>
      </c>
      <c r="E23" s="15">
        <f>F17</f>
        <v>225</v>
      </c>
      <c r="H23" s="15">
        <f>H17</f>
        <v>585.6</v>
      </c>
    </row>
    <row r="24" spans="2:9" x14ac:dyDescent="0.45">
      <c r="C24" s="15">
        <f>E17</f>
        <v>55</v>
      </c>
      <c r="D24" s="15">
        <f>F17</f>
        <v>225</v>
      </c>
      <c r="E24" s="15">
        <f>G17</f>
        <v>979</v>
      </c>
      <c r="H24" s="15">
        <f>I17</f>
        <v>2488.8000000000002</v>
      </c>
    </row>
    <row r="26" spans="2:9" x14ac:dyDescent="0.45">
      <c r="B26" s="12" t="s">
        <v>67</v>
      </c>
      <c r="C26" s="15">
        <f>INDEX(MMULT(MINVERSE(C22:E24),H22:H24),1,1)</f>
        <v>2.4785714285713709</v>
      </c>
      <c r="D26" s="10" t="s">
        <v>24</v>
      </c>
    </row>
    <row r="27" spans="2:9" x14ac:dyDescent="0.45">
      <c r="C27" s="15">
        <f>INDEX(MMULT(MINVERSE(C22:E24),H22:H24),2,1)</f>
        <v>2.3592857142858747</v>
      </c>
      <c r="D27" s="10" t="s">
        <v>25</v>
      </c>
    </row>
    <row r="28" spans="2:9" x14ac:dyDescent="0.45">
      <c r="C28" s="15">
        <f>INDEX(MMULT(MINVERSE(C22:E24),H22:H24),3,1)</f>
        <v>1.8607142857142804</v>
      </c>
      <c r="D28" s="10" t="s">
        <v>26</v>
      </c>
    </row>
    <row r="30" spans="2:9" x14ac:dyDescent="0.45">
      <c r="B30" s="10" t="s">
        <v>27</v>
      </c>
      <c r="C30" s="10" t="s">
        <v>68</v>
      </c>
    </row>
    <row r="31" spans="2:9" ht="42.75" customHeight="1" x14ac:dyDescent="0.45">
      <c r="B31" s="10" t="s">
        <v>31</v>
      </c>
      <c r="C31" s="16" t="s">
        <v>69</v>
      </c>
      <c r="D31" s="16"/>
      <c r="E31" s="16"/>
      <c r="F31" s="16"/>
      <c r="G31" s="16"/>
      <c r="H31" s="16"/>
      <c r="I31" s="16"/>
    </row>
    <row r="33" spans="2:2" x14ac:dyDescent="0.45">
      <c r="B33" s="12" t="s">
        <v>34</v>
      </c>
    </row>
    <row r="34" spans="2:2" x14ac:dyDescent="0.45">
      <c r="B34" s="10" t="s">
        <v>66</v>
      </c>
    </row>
    <row r="35" spans="2:2" ht="160.05000000000001" customHeight="1" x14ac:dyDescent="0.45"/>
    <row r="46" spans="2:2" x14ac:dyDescent="0.45">
      <c r="B46" s="10" t="s">
        <v>70</v>
      </c>
    </row>
    <row r="47" spans="2:2" ht="280.05" customHeight="1" x14ac:dyDescent="0.45"/>
  </sheetData>
  <mergeCells count="1">
    <mergeCell ref="C31:I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polinomial</vt:lpstr>
      <vt:lpstr>lineal multiple</vt:lpstr>
      <vt:lpstr>c a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YASEN CUTIPA MAYHUA</dc:creator>
  <cp:lastModifiedBy>YASEN CUTIPA MAYHUA</cp:lastModifiedBy>
  <dcterms:created xsi:type="dcterms:W3CDTF">2026-10-07T18:41:08Z</dcterms:created>
  <dcterms:modified xsi:type="dcterms:W3CDTF">2026-10-07T18:52:39Z</dcterms:modified>
</cp:coreProperties>
</file>