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sen\Downloads\metodo numerico 6to\"/>
    </mc:Choice>
  </mc:AlternateContent>
  <xr:revisionPtr revIDLastSave="0" documentId="13_ncr:1_{F867CF5F-B15E-43B6-9323-99F2354B2794}" xr6:coauthVersionLast="47" xr6:coauthVersionMax="47" xr10:uidLastSave="{00000000-0000-0000-0000-000000000000}"/>
  <bookViews>
    <workbookView xWindow="9518" yWindow="0" windowWidth="9765" windowHeight="11363" firstSheet="2" activeTab="3" xr2:uid="{85B8D909-7350-4FC5-B9F1-F8251932FBFC}"/>
  </bookViews>
  <sheets>
    <sheet name="ejercicio 1" sheetId="4" r:id="rId1"/>
    <sheet name="ejercicio 2" sheetId="3" r:id="rId2"/>
    <sheet name="ejercicio 3" sheetId="2" r:id="rId3"/>
    <sheet name="ejercicio 4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26" i="1" l="1"/>
  <c r="F26" i="1"/>
  <c r="C26" i="1"/>
  <c r="I25" i="1"/>
  <c r="F25" i="1"/>
  <c r="C25" i="1"/>
  <c r="F24" i="1" s="1"/>
  <c r="I24" i="1"/>
  <c r="C24" i="1"/>
  <c r="I23" i="1"/>
  <c r="C23" i="1"/>
  <c r="F20" i="1"/>
  <c r="E20" i="1"/>
  <c r="D20" i="1"/>
  <c r="C20" i="1"/>
  <c r="F19" i="1"/>
  <c r="E19" i="1"/>
  <c r="D19" i="1"/>
  <c r="C19" i="1"/>
  <c r="F18" i="1"/>
  <c r="E18" i="1"/>
  <c r="D18" i="1"/>
  <c r="C18" i="1"/>
  <c r="F17" i="1"/>
  <c r="E17" i="1"/>
  <c r="D17" i="1"/>
  <c r="C17" i="1"/>
  <c r="F14" i="1"/>
  <c r="E14" i="1"/>
  <c r="D14" i="1"/>
  <c r="C14" i="1"/>
  <c r="F13" i="1"/>
  <c r="E13" i="1"/>
  <c r="D13" i="1"/>
  <c r="C13" i="1"/>
  <c r="F12" i="1"/>
  <c r="E12" i="1"/>
  <c r="D12" i="1"/>
  <c r="C12" i="1"/>
  <c r="F11" i="1"/>
  <c r="E11" i="1"/>
  <c r="D11" i="1"/>
  <c r="C11" i="1"/>
  <c r="F26" i="2"/>
  <c r="C26" i="2"/>
  <c r="F25" i="2"/>
  <c r="C25" i="2"/>
  <c r="F24" i="2"/>
  <c r="C24" i="2"/>
  <c r="F23" i="2"/>
  <c r="C23" i="2"/>
  <c r="C20" i="2"/>
  <c r="C19" i="2"/>
  <c r="C18" i="2"/>
  <c r="C17" i="2"/>
  <c r="F43" i="3"/>
  <c r="E43" i="3"/>
  <c r="D43" i="3"/>
  <c r="C43" i="3"/>
  <c r="F42" i="3"/>
  <c r="E42" i="3"/>
  <c r="D42" i="3"/>
  <c r="C42" i="3"/>
  <c r="F41" i="3"/>
  <c r="E41" i="3"/>
  <c r="D41" i="3"/>
  <c r="C41" i="3"/>
  <c r="F40" i="3"/>
  <c r="E40" i="3"/>
  <c r="D40" i="3"/>
  <c r="C40" i="3"/>
  <c r="F39" i="3"/>
  <c r="E39" i="3"/>
  <c r="D39" i="3"/>
  <c r="C39" i="3"/>
  <c r="F24" i="3"/>
  <c r="F23" i="3"/>
  <c r="F22" i="3"/>
  <c r="C23" i="3"/>
  <c r="C22" i="3"/>
  <c r="C21" i="3"/>
  <c r="F19" i="3"/>
  <c r="E19" i="3"/>
  <c r="D19" i="3"/>
  <c r="C19" i="3"/>
  <c r="F18" i="3"/>
  <c r="E18" i="3"/>
  <c r="D18" i="3"/>
  <c r="C18" i="3"/>
  <c r="F17" i="3"/>
  <c r="E17" i="3"/>
  <c r="D17" i="3"/>
  <c r="C17" i="3"/>
  <c r="F16" i="3"/>
  <c r="E16" i="3"/>
  <c r="D16" i="3"/>
  <c r="C16" i="3"/>
  <c r="F15" i="3"/>
  <c r="E15" i="3"/>
  <c r="D15" i="3"/>
  <c r="C15" i="3"/>
  <c r="C35" i="4"/>
  <c r="C34" i="4"/>
  <c r="C33" i="4"/>
  <c r="C31" i="4"/>
  <c r="E30" i="4"/>
  <c r="D30" i="4"/>
  <c r="C30" i="4"/>
  <c r="E29" i="4"/>
  <c r="D29" i="4"/>
  <c r="C29" i="4"/>
  <c r="E28" i="4"/>
  <c r="D28" i="4"/>
  <c r="C28" i="4"/>
  <c r="H25" i="4"/>
  <c r="I24" i="4"/>
  <c r="H24" i="4"/>
  <c r="G24" i="4"/>
  <c r="I23" i="4"/>
  <c r="H23" i="4"/>
  <c r="G23" i="4"/>
  <c r="I22" i="4"/>
  <c r="H22" i="4"/>
  <c r="G22" i="4"/>
  <c r="C25" i="4"/>
  <c r="E24" i="4"/>
  <c r="D24" i="4"/>
  <c r="C24" i="4"/>
  <c r="E23" i="4"/>
  <c r="D23" i="4"/>
  <c r="C23" i="4"/>
  <c r="E22" i="4"/>
  <c r="D22" i="4"/>
  <c r="C22" i="4"/>
  <c r="C19" i="4"/>
  <c r="C16" i="4"/>
  <c r="C15" i="4"/>
  <c r="C14" i="4"/>
  <c r="E11" i="4"/>
  <c r="D11" i="4"/>
  <c r="C11" i="4"/>
  <c r="E10" i="4"/>
  <c r="D10" i="4"/>
  <c r="C10" i="4"/>
  <c r="E9" i="4"/>
  <c r="D9" i="4"/>
  <c r="C9" i="4"/>
  <c r="F23" i="1" l="1"/>
</calcChain>
</file>

<file path=xl/sharedStrings.xml><?xml version="1.0" encoding="utf-8"?>
<sst xmlns="http://schemas.openxmlformats.org/spreadsheetml/2006/main" count="114" uniqueCount="62">
  <si>
    <t>A</t>
  </si>
  <si>
    <t>b</t>
  </si>
  <si>
    <t>A^(-1)</t>
  </si>
  <si>
    <t>x = A^(-1)*b</t>
  </si>
  <si>
    <t>x1</t>
  </si>
  <si>
    <t>x2</t>
  </si>
  <si>
    <t>x3</t>
  </si>
  <si>
    <t>Cramer</t>
  </si>
  <si>
    <t>DA</t>
  </si>
  <si>
    <t>X1</t>
  </si>
  <si>
    <t>DX1</t>
  </si>
  <si>
    <t>X2</t>
  </si>
  <si>
    <t>DX2</t>
  </si>
  <si>
    <t>X3</t>
  </si>
  <si>
    <t>DX3</t>
  </si>
  <si>
    <t>Conclusión:</t>
  </si>
  <si>
    <t>x1 = -0.0344828 ,  x2 = 1.0689655 ,  x3 = -0.2068966</t>
  </si>
  <si>
    <t>Evidencias Octave (Ventana de comandos)</t>
  </si>
  <si>
    <t>A y b</t>
  </si>
  <si>
    <t>inv(A) y X=inv(A)*b</t>
  </si>
  <si>
    <t>Cramer DA y DX1</t>
  </si>
  <si>
    <t>DX2, DX3 y xi</t>
  </si>
  <si>
    <t>Ejercicio 2:</t>
  </si>
  <si>
    <t>Sistema 1</t>
  </si>
  <si>
    <t>Gauss</t>
  </si>
  <si>
    <t>f1=1/f1(1)*f1</t>
  </si>
  <si>
    <t>f2=-f2(1)*f1+f2</t>
  </si>
  <si>
    <t>f3=-f3(1)*f1+f3</t>
  </si>
  <si>
    <t>f2=1/f2(2)*f2</t>
  </si>
  <si>
    <t>f3=-f3(2)*f2+f3</t>
  </si>
  <si>
    <t>Gauss-Jordan</t>
  </si>
  <si>
    <t>Conclusión sistema 1:</t>
  </si>
  <si>
    <t>x1 = 1.0000000 ,  x2 = 1.0000000 ,  x3 = 1.0000000</t>
  </si>
  <si>
    <t>Sistema 2</t>
  </si>
  <si>
    <t>Conclusión sistema 2:</t>
  </si>
  <si>
    <t>Fila nula: sistema compatible indeterminado (infinitas soluciones).</t>
  </si>
  <si>
    <t>Sistema 1: f1, f2, f3</t>
  </si>
  <si>
    <t>Sistema 1: eliminación</t>
  </si>
  <si>
    <t>Sistema 1: xi</t>
  </si>
  <si>
    <t>Sistema 1: Gauss-Jordan</t>
  </si>
  <si>
    <t>Sistema 2: Gauss (fila nula)</t>
  </si>
  <si>
    <t>Ejercicio 3:</t>
  </si>
  <si>
    <t>L</t>
  </si>
  <si>
    <t>U</t>
  </si>
  <si>
    <t>y = inv(L)*b</t>
  </si>
  <si>
    <t>y1</t>
  </si>
  <si>
    <t>y2</t>
  </si>
  <si>
    <t>y3</t>
  </si>
  <si>
    <t>y4</t>
  </si>
  <si>
    <t>x = inv(U)*y</t>
  </si>
  <si>
    <t>x = inv(A)*b</t>
  </si>
  <si>
    <t>x4</t>
  </si>
  <si>
    <t>x1 = -0.2000000 ,  x2 = 1.1200000 ,  x3 = 0.5600000 ,  x4 = 0.8400000</t>
  </si>
  <si>
    <t>[L,U]=lu(A)</t>
  </si>
  <si>
    <t>y=inv(L)*b , x=inv(U)*y , x=inv(A)*b</t>
  </si>
  <si>
    <t>Ejercicio 4:</t>
  </si>
  <si>
    <t>U = chol(A)</t>
  </si>
  <si>
    <t>L = U'</t>
  </si>
  <si>
    <t>x1 = 1.0000000 ,  x2 = 1.0000000 ,  x3 = 1.0000000 ,  x4 = 1.0000000</t>
  </si>
  <si>
    <t>U=chol(A) y U'*U</t>
  </si>
  <si>
    <t>L=U' y y=inv(L)*b</t>
  </si>
  <si>
    <t>x=inv(U)*y y x=inv(A)*b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</si>
</sst>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"/>
  </numFmts>
  <fonts count="5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4"/>
      <color rgb="FFD06000"/>
      <name val="Calibri"/>
      <family val="2"/>
    </font>
    <font>
      <sz val="14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64" fontId="1" fillId="0" borderId="0" xfId="0" applyNumberFormat="1" applyFont="1"/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6.png"/><Relationship Id="rId6" Type="http://schemas.openxmlformats.org/officeDocument/2006/relationships/image" Target="../media/image11.png"/><Relationship Id="rId5" Type="http://schemas.openxmlformats.org/officeDocument/2006/relationships/image" Target="../media/image10.png"/><Relationship Id="rId4" Type="http://schemas.openxmlformats.org/officeDocument/2006/relationships/image" Target="../media/image9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png"/><Relationship Id="rId2" Type="http://schemas.openxmlformats.org/officeDocument/2006/relationships/image" Target="../media/image13.png"/><Relationship Id="rId1" Type="http://schemas.openxmlformats.org/officeDocument/2006/relationships/image" Target="../media/image12.png"/><Relationship Id="rId4" Type="http://schemas.openxmlformats.org/officeDocument/2006/relationships/image" Target="../media/image15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8.png"/><Relationship Id="rId2" Type="http://schemas.openxmlformats.org/officeDocument/2006/relationships/image" Target="../media/image17.png"/><Relationship Id="rId1" Type="http://schemas.openxmlformats.org/officeDocument/2006/relationships/image" Target="../media/image16.png"/><Relationship Id="rId5" Type="http://schemas.openxmlformats.org/officeDocument/2006/relationships/image" Target="../media/image20.png"/><Relationship Id="rId4" Type="http://schemas.openxmlformats.org/officeDocument/2006/relationships/image" Target="../media/image1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40</xdr:row>
      <xdr:rowOff>0</xdr:rowOff>
    </xdr:from>
    <xdr:to>
      <xdr:col>7</xdr:col>
      <xdr:colOff>631825</xdr:colOff>
      <xdr:row>41</xdr:row>
      <xdr:rowOff>173058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F7456F7-E5B3-F2E4-6EBF-7C6210E02C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8120063"/>
          <a:ext cx="6604000" cy="334488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57</xdr:row>
      <xdr:rowOff>0</xdr:rowOff>
    </xdr:from>
    <xdr:to>
      <xdr:col>7</xdr:col>
      <xdr:colOff>631825</xdr:colOff>
      <xdr:row>58</xdr:row>
      <xdr:rowOff>82468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CB822B8-2D06-8AE4-1AA6-C8A1AEF62A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4187488"/>
          <a:ext cx="6604000" cy="313046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73</xdr:row>
      <xdr:rowOff>0</xdr:rowOff>
    </xdr:from>
    <xdr:to>
      <xdr:col>7</xdr:col>
      <xdr:colOff>631825</xdr:colOff>
      <xdr:row>73</xdr:row>
      <xdr:rowOff>2916052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5DBB357-7892-3F32-1888-FFF4437614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9950113"/>
          <a:ext cx="6604000" cy="291605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90</xdr:row>
      <xdr:rowOff>0</xdr:rowOff>
    </xdr:from>
    <xdr:to>
      <xdr:col>7</xdr:col>
      <xdr:colOff>631825</xdr:colOff>
      <xdr:row>92</xdr:row>
      <xdr:rowOff>158668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63CF7E0-9319-932A-82DF-278C5B1BB6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26146125"/>
          <a:ext cx="6604000" cy="3130468"/>
        </a:xfrm>
        <a:prstGeom prst="rect">
          <a:avLst/>
        </a:prstGeom>
      </xdr:spPr>
    </xdr:pic>
    <xdr:clientData/>
  </xdr:twoCellAnchor>
  <xdr:twoCellAnchor editAs="oneCell">
    <xdr:from>
      <xdr:col>0</xdr:col>
      <xdr:colOff>219075</xdr:colOff>
      <xdr:row>0</xdr:row>
      <xdr:rowOff>0</xdr:rowOff>
    </xdr:from>
    <xdr:to>
      <xdr:col>8</xdr:col>
      <xdr:colOff>600075</xdr:colOff>
      <xdr:row>2</xdr:row>
      <xdr:rowOff>85734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A644CF9-570F-7325-F86C-27935D67D6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19075" y="0"/>
          <a:ext cx="7543800" cy="128588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48</xdr:row>
      <xdr:rowOff>0</xdr:rowOff>
    </xdr:from>
    <xdr:to>
      <xdr:col>7</xdr:col>
      <xdr:colOff>885825</xdr:colOff>
      <xdr:row>49</xdr:row>
      <xdr:rowOff>173120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9E5F0BB-D587-4982-7393-589DA59A4A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9615488"/>
          <a:ext cx="6858000" cy="347353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65</xdr:row>
      <xdr:rowOff>0</xdr:rowOff>
    </xdr:from>
    <xdr:to>
      <xdr:col>7</xdr:col>
      <xdr:colOff>885825</xdr:colOff>
      <xdr:row>72</xdr:row>
      <xdr:rowOff>136319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4A8F372-10CD-C45D-076B-D215D898CC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5811500"/>
          <a:ext cx="6858000" cy="503216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84</xdr:row>
      <xdr:rowOff>0</xdr:rowOff>
    </xdr:from>
    <xdr:to>
      <xdr:col>7</xdr:col>
      <xdr:colOff>631825</xdr:colOff>
      <xdr:row>85</xdr:row>
      <xdr:rowOff>67561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CAC27E2-4F44-17FE-994D-8824C46FE3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22879050"/>
          <a:ext cx="6604000" cy="184397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94</xdr:row>
      <xdr:rowOff>0</xdr:rowOff>
    </xdr:from>
    <xdr:to>
      <xdr:col>7</xdr:col>
      <xdr:colOff>631825</xdr:colOff>
      <xdr:row>97</xdr:row>
      <xdr:rowOff>73355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B100021-73CF-FC5F-3290-1A6ABB3E5B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26284238"/>
          <a:ext cx="6604000" cy="398813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112</xdr:row>
      <xdr:rowOff>0</xdr:rowOff>
    </xdr:from>
    <xdr:to>
      <xdr:col>7</xdr:col>
      <xdr:colOff>631825</xdr:colOff>
      <xdr:row>118</xdr:row>
      <xdr:rowOff>130917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28E40A8-595A-1AAE-9182-1ECC50900E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32913638"/>
          <a:ext cx="6604000" cy="4845792"/>
        </a:xfrm>
        <a:prstGeom prst="rect">
          <a:avLst/>
        </a:prstGeom>
      </xdr:spPr>
    </xdr:pic>
    <xdr:clientData/>
  </xdr:twoCellAnchor>
  <xdr:twoCellAnchor editAs="oneCell">
    <xdr:from>
      <xdr:col>1</xdr:col>
      <xdr:colOff>1363060</xdr:colOff>
      <xdr:row>0</xdr:row>
      <xdr:rowOff>0</xdr:rowOff>
    </xdr:from>
    <xdr:to>
      <xdr:col>9</xdr:col>
      <xdr:colOff>804699</xdr:colOff>
      <xdr:row>2</xdr:row>
      <xdr:rowOff>147801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D49684D-3541-002C-1C3B-869C8B08D0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617608" y="0"/>
          <a:ext cx="7234074" cy="134663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31</xdr:row>
      <xdr:rowOff>0</xdr:rowOff>
    </xdr:from>
    <xdr:to>
      <xdr:col>7</xdr:col>
      <xdr:colOff>885825</xdr:colOff>
      <xdr:row>35</xdr:row>
      <xdr:rowOff>75520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96EC981-7A22-0A00-17D8-A650D7B9D3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6491288"/>
          <a:ext cx="6858000" cy="391885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48</xdr:row>
      <xdr:rowOff>0</xdr:rowOff>
    </xdr:from>
    <xdr:to>
      <xdr:col>7</xdr:col>
      <xdr:colOff>885825</xdr:colOff>
      <xdr:row>48</xdr:row>
      <xdr:rowOff>3473532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600A93C-902F-60C4-AB2D-576B1D6B5A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2687300"/>
          <a:ext cx="6858000" cy="347353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66</xdr:row>
      <xdr:rowOff>0</xdr:rowOff>
    </xdr:from>
    <xdr:to>
      <xdr:col>7</xdr:col>
      <xdr:colOff>885825</xdr:colOff>
      <xdr:row>76</xdr:row>
      <xdr:rowOff>73231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AB94BAF-8058-C406-6C23-6002E720BE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9316700"/>
          <a:ext cx="6858000" cy="5254831"/>
        </a:xfrm>
        <a:prstGeom prst="rect">
          <a:avLst/>
        </a:prstGeom>
      </xdr:spPr>
    </xdr:pic>
    <xdr:clientData/>
  </xdr:twoCellAnchor>
  <xdr:twoCellAnchor editAs="oneCell">
    <xdr:from>
      <xdr:col>2</xdr:col>
      <xdr:colOff>-1</xdr:colOff>
      <xdr:row>0</xdr:row>
      <xdr:rowOff>23812</xdr:rowOff>
    </xdr:from>
    <xdr:to>
      <xdr:col>13</xdr:col>
      <xdr:colOff>130968</xdr:colOff>
      <xdr:row>2</xdr:row>
      <xdr:rowOff>130968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C5EAF8C-7A4A-8ABB-9E60-077685302D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38312" y="23812"/>
          <a:ext cx="9560719" cy="129778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31</xdr:row>
      <xdr:rowOff>0</xdr:rowOff>
    </xdr:from>
    <xdr:to>
      <xdr:col>7</xdr:col>
      <xdr:colOff>885825</xdr:colOff>
      <xdr:row>36</xdr:row>
      <xdr:rowOff>23132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685E972-4B18-50DF-3B2C-E8C8561624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6491288"/>
          <a:ext cx="6858000" cy="391885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48</xdr:row>
      <xdr:rowOff>0</xdr:rowOff>
    </xdr:from>
    <xdr:to>
      <xdr:col>7</xdr:col>
      <xdr:colOff>885825</xdr:colOff>
      <xdr:row>51</xdr:row>
      <xdr:rowOff>33833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26E42D2-2088-C917-1054-DFD8DD8DE1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2558713"/>
          <a:ext cx="6858000" cy="369619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65</xdr:row>
      <xdr:rowOff>0</xdr:rowOff>
    </xdr:from>
    <xdr:to>
      <xdr:col>7</xdr:col>
      <xdr:colOff>885825</xdr:colOff>
      <xdr:row>68</xdr:row>
      <xdr:rowOff>33832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95C3107-401F-33B5-BE7C-68A5C0B59F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8754725"/>
          <a:ext cx="6858000" cy="369619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82</xdr:row>
      <xdr:rowOff>0</xdr:rowOff>
    </xdr:from>
    <xdr:to>
      <xdr:col>7</xdr:col>
      <xdr:colOff>885825</xdr:colOff>
      <xdr:row>86</xdr:row>
      <xdr:rowOff>105270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EFB97BB-8F08-2691-4827-F7CD3AAF15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24950738"/>
          <a:ext cx="6858000" cy="369619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11</xdr:col>
      <xdr:colOff>251603</xdr:colOff>
      <xdr:row>3</xdr:row>
      <xdr:rowOff>62190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273B93D-DBCA-6DC8-FEB9-88DA376724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734270" y="179717"/>
          <a:ext cx="8338867" cy="12573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27A63-C845-4680-BEE5-A9338B774189}">
  <dimension ref="B2:I91"/>
  <sheetViews>
    <sheetView topLeftCell="A63" zoomScale="50" workbookViewId="0">
      <selection activeCell="I13" sqref="I13"/>
    </sheetView>
  </sheetViews>
  <sheetFormatPr defaultRowHeight="14.25" x14ac:dyDescent="0.45"/>
  <cols>
    <col min="1" max="1" width="3.59765625" style="1" customWidth="1"/>
    <col min="2" max="2" width="20.59765625" style="1" customWidth="1"/>
    <col min="3" max="11" width="12.59765625" style="1" customWidth="1"/>
    <col min="12" max="16384" width="9.06640625" style="1"/>
  </cols>
  <sheetData>
    <row r="2" spans="2:8" ht="80" customHeight="1" x14ac:dyDescent="0.55000000000000004">
      <c r="B2" s="3"/>
      <c r="C2" s="8"/>
      <c r="D2" s="8"/>
      <c r="E2" s="8"/>
      <c r="F2" s="8"/>
      <c r="G2" s="8"/>
      <c r="H2" s="8"/>
    </row>
    <row r="4" spans="2:8" x14ac:dyDescent="0.45">
      <c r="B4" s="2" t="s">
        <v>0</v>
      </c>
      <c r="G4" s="2" t="s">
        <v>1</v>
      </c>
    </row>
    <row r="5" spans="2:8" x14ac:dyDescent="0.45">
      <c r="C5" s="5">
        <v>2</v>
      </c>
      <c r="D5" s="5">
        <v>1</v>
      </c>
      <c r="E5" s="5">
        <v>0</v>
      </c>
      <c r="G5" s="5">
        <v>1</v>
      </c>
    </row>
    <row r="6" spans="2:8" x14ac:dyDescent="0.45">
      <c r="C6" s="5">
        <v>1</v>
      </c>
      <c r="D6" s="5">
        <v>-2</v>
      </c>
      <c r="E6" s="5">
        <v>4</v>
      </c>
      <c r="G6" s="5">
        <v>-3</v>
      </c>
    </row>
    <row r="7" spans="2:8" x14ac:dyDescent="0.45">
      <c r="C7" s="5">
        <v>3</v>
      </c>
      <c r="D7" s="5">
        <v>1</v>
      </c>
      <c r="E7" s="5">
        <v>-5</v>
      </c>
      <c r="G7" s="5">
        <v>2</v>
      </c>
    </row>
    <row r="8" spans="2:8" x14ac:dyDescent="0.45">
      <c r="B8" s="2" t="s">
        <v>2</v>
      </c>
    </row>
    <row r="9" spans="2:8" x14ac:dyDescent="0.45">
      <c r="C9" s="5">
        <f>INDEX(MINVERSE($C$5:$E$7),1,1)</f>
        <v>0.20689655172413801</v>
      </c>
      <c r="D9" s="5">
        <f>INDEX(MINVERSE($C$5:$E$7),1,2)</f>
        <v>0.17241379310344829</v>
      </c>
      <c r="E9" s="5">
        <f>INDEX(MINVERSE($C$5:$E$7),1,3)</f>
        <v>0.13793103448275856</v>
      </c>
    </row>
    <row r="10" spans="2:8" x14ac:dyDescent="0.45">
      <c r="C10" s="5">
        <f>INDEX(MINVERSE($C$5:$E$7),2,1)</f>
        <v>0.58620689655172409</v>
      </c>
      <c r="D10" s="5">
        <f>INDEX(MINVERSE($C$5:$E$7),2,2)</f>
        <v>-0.34482758620689652</v>
      </c>
      <c r="E10" s="5">
        <f>INDEX(MINVERSE($C$5:$E$7),2,3)</f>
        <v>-0.27586206896551718</v>
      </c>
    </row>
    <row r="11" spans="2:8" x14ac:dyDescent="0.45">
      <c r="C11" s="5">
        <f>INDEX(MINVERSE($C$5:$E$7),3,1)</f>
        <v>0.24137931034482762</v>
      </c>
      <c r="D11" s="5">
        <f>INDEX(MINVERSE($C$5:$E$7),3,2)</f>
        <v>3.4482758620689662E-2</v>
      </c>
      <c r="E11" s="5">
        <f>INDEX(MINVERSE($C$5:$E$7),3,3)</f>
        <v>-0.17241379310344829</v>
      </c>
    </row>
    <row r="13" spans="2:8" x14ac:dyDescent="0.45">
      <c r="B13" s="2" t="s">
        <v>3</v>
      </c>
    </row>
    <row r="14" spans="2:8" x14ac:dyDescent="0.45">
      <c r="B14" s="6" t="s">
        <v>4</v>
      </c>
      <c r="C14" s="5">
        <f>INDEX(MMULT($C$9:$E$11,$G$5:$G$7),1,1)</f>
        <v>-3.4482758620689724E-2</v>
      </c>
    </row>
    <row r="15" spans="2:8" x14ac:dyDescent="0.45">
      <c r="B15" s="6" t="s">
        <v>5</v>
      </c>
      <c r="C15" s="5">
        <f>INDEX(MMULT($C$9:$E$11,$G$5:$G$7),2,1)</f>
        <v>1.0689655172413794</v>
      </c>
    </row>
    <row r="16" spans="2:8" x14ac:dyDescent="0.45">
      <c r="B16" s="6" t="s">
        <v>6</v>
      </c>
      <c r="C16" s="5">
        <f>INDEX(MMULT($C$9:$E$11,$G$5:$G$7),3,1)</f>
        <v>-0.20689655172413793</v>
      </c>
    </row>
    <row r="18" spans="2:9" x14ac:dyDescent="0.45">
      <c r="B18" s="2" t="s">
        <v>7</v>
      </c>
    </row>
    <row r="19" spans="2:9" x14ac:dyDescent="0.45">
      <c r="B19" s="1" t="s">
        <v>8</v>
      </c>
      <c r="C19" s="4">
        <f>MDETERM(C5:E7)</f>
        <v>28.999999999999996</v>
      </c>
    </row>
    <row r="21" spans="2:9" x14ac:dyDescent="0.45">
      <c r="B21" s="1" t="s">
        <v>9</v>
      </c>
      <c r="G21" s="1" t="s">
        <v>11</v>
      </c>
    </row>
    <row r="22" spans="2:9" x14ac:dyDescent="0.45">
      <c r="C22" s="5">
        <f>G5</f>
        <v>1</v>
      </c>
      <c r="D22" s="5">
        <f t="shared" ref="D22:E24" si="0">D5</f>
        <v>1</v>
      </c>
      <c r="E22" s="5">
        <f t="shared" si="0"/>
        <v>0</v>
      </c>
      <c r="G22" s="5">
        <f>C5</f>
        <v>2</v>
      </c>
      <c r="H22" s="5">
        <f>G5</f>
        <v>1</v>
      </c>
      <c r="I22" s="5">
        <f>E5</f>
        <v>0</v>
      </c>
    </row>
    <row r="23" spans="2:9" x14ac:dyDescent="0.45">
      <c r="C23" s="5">
        <f>G6</f>
        <v>-3</v>
      </c>
      <c r="D23" s="5">
        <f t="shared" si="0"/>
        <v>-2</v>
      </c>
      <c r="E23" s="5">
        <f t="shared" si="0"/>
        <v>4</v>
      </c>
      <c r="G23" s="5">
        <f>C6</f>
        <v>1</v>
      </c>
      <c r="H23" s="5">
        <f>G6</f>
        <v>-3</v>
      </c>
      <c r="I23" s="5">
        <f>E6</f>
        <v>4</v>
      </c>
    </row>
    <row r="24" spans="2:9" x14ac:dyDescent="0.45">
      <c r="C24" s="5">
        <f>G7</f>
        <v>2</v>
      </c>
      <c r="D24" s="5">
        <f t="shared" si="0"/>
        <v>1</v>
      </c>
      <c r="E24" s="5">
        <f t="shared" si="0"/>
        <v>-5</v>
      </c>
      <c r="G24" s="5">
        <f>C7</f>
        <v>3</v>
      </c>
      <c r="H24" s="5">
        <f>G7</f>
        <v>2</v>
      </c>
      <c r="I24" s="5">
        <f>E7</f>
        <v>-5</v>
      </c>
    </row>
    <row r="25" spans="2:9" x14ac:dyDescent="0.45">
      <c r="B25" s="1" t="s">
        <v>10</v>
      </c>
      <c r="C25" s="4">
        <f>MDETERM(C22:E24)</f>
        <v>-1.0000000000000007</v>
      </c>
      <c r="G25" s="1" t="s">
        <v>12</v>
      </c>
      <c r="H25" s="4">
        <f>MDETERM(G22:I24)</f>
        <v>30.999999999999996</v>
      </c>
    </row>
    <row r="27" spans="2:9" x14ac:dyDescent="0.45">
      <c r="B27" s="1" t="s">
        <v>13</v>
      </c>
    </row>
    <row r="28" spans="2:9" x14ac:dyDescent="0.45">
      <c r="C28" s="5">
        <f t="shared" ref="C28:D30" si="1">C5</f>
        <v>2</v>
      </c>
      <c r="D28" s="5">
        <f t="shared" si="1"/>
        <v>1</v>
      </c>
      <c r="E28" s="5">
        <f>G5</f>
        <v>1</v>
      </c>
    </row>
    <row r="29" spans="2:9" x14ac:dyDescent="0.45">
      <c r="C29" s="5">
        <f t="shared" si="1"/>
        <v>1</v>
      </c>
      <c r="D29" s="5">
        <f t="shared" si="1"/>
        <v>-2</v>
      </c>
      <c r="E29" s="5">
        <f>G6</f>
        <v>-3</v>
      </c>
    </row>
    <row r="30" spans="2:9" x14ac:dyDescent="0.45">
      <c r="C30" s="5">
        <f t="shared" si="1"/>
        <v>3</v>
      </c>
      <c r="D30" s="5">
        <f t="shared" si="1"/>
        <v>1</v>
      </c>
      <c r="E30" s="5">
        <f>G7</f>
        <v>2</v>
      </c>
    </row>
    <row r="31" spans="2:9" x14ac:dyDescent="0.45">
      <c r="B31" s="1" t="s">
        <v>14</v>
      </c>
      <c r="C31" s="4">
        <f>MDETERM(C28:E30)</f>
        <v>-6</v>
      </c>
    </row>
    <row r="33" spans="2:3" x14ac:dyDescent="0.45">
      <c r="B33" s="6" t="s">
        <v>4</v>
      </c>
      <c r="C33" s="5">
        <f>C25/C19</f>
        <v>-3.4482758620689682E-2</v>
      </c>
    </row>
    <row r="34" spans="2:3" x14ac:dyDescent="0.45">
      <c r="B34" s="6" t="s">
        <v>5</v>
      </c>
      <c r="C34" s="5">
        <f>H25/C19</f>
        <v>1.0689655172413792</v>
      </c>
    </row>
    <row r="35" spans="2:3" x14ac:dyDescent="0.45">
      <c r="B35" s="6" t="s">
        <v>6</v>
      </c>
      <c r="C35" s="5">
        <f>C31/C19</f>
        <v>-0.20689655172413796</v>
      </c>
    </row>
    <row r="37" spans="2:3" ht="18" x14ac:dyDescent="0.55000000000000004">
      <c r="B37" s="2" t="s">
        <v>15</v>
      </c>
      <c r="C37" s="7" t="s">
        <v>16</v>
      </c>
    </row>
    <row r="39" spans="2:3" x14ac:dyDescent="0.45">
      <c r="B39" s="2" t="s">
        <v>17</v>
      </c>
    </row>
    <row r="40" spans="2:3" x14ac:dyDescent="0.45">
      <c r="B40" s="1" t="s">
        <v>18</v>
      </c>
    </row>
    <row r="41" spans="2:3" ht="250.05" customHeight="1" x14ac:dyDescent="0.45"/>
    <row r="57" spans="2:2" x14ac:dyDescent="0.45">
      <c r="B57" s="1" t="s">
        <v>19</v>
      </c>
    </row>
    <row r="58" spans="2:2" ht="240" customHeight="1" x14ac:dyDescent="0.45"/>
    <row r="73" spans="2:2" x14ac:dyDescent="0.45">
      <c r="B73" s="1" t="s">
        <v>20</v>
      </c>
    </row>
    <row r="74" spans="2:2" ht="260" customHeight="1" x14ac:dyDescent="0.45"/>
    <row r="90" spans="2:2" x14ac:dyDescent="0.45">
      <c r="B90" s="1" t="s">
        <v>21</v>
      </c>
    </row>
    <row r="91" spans="2:2" ht="220.05" customHeight="1" x14ac:dyDescent="0.45"/>
  </sheetData>
  <mergeCells count="1">
    <mergeCell ref="C2:H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4846B-FE0B-4C40-B6A4-C970FD02F591}">
  <dimension ref="B2:H113"/>
  <sheetViews>
    <sheetView zoomScale="58" workbookViewId="0">
      <selection activeCell="J23" sqref="J23"/>
    </sheetView>
  </sheetViews>
  <sheetFormatPr defaultRowHeight="14.25" x14ac:dyDescent="0.45"/>
  <cols>
    <col min="1" max="1" width="3.59765625" style="1" customWidth="1"/>
    <col min="2" max="2" width="20.59765625" style="1" customWidth="1"/>
    <col min="3" max="11" width="12.59765625" style="1" customWidth="1"/>
    <col min="12" max="16384" width="9.06640625" style="1"/>
  </cols>
  <sheetData>
    <row r="2" spans="2:8" ht="80" customHeight="1" x14ac:dyDescent="0.55000000000000004">
      <c r="B2" s="3" t="s">
        <v>22</v>
      </c>
      <c r="C2" s="8"/>
      <c r="D2" s="8"/>
      <c r="E2" s="8"/>
      <c r="F2" s="8"/>
      <c r="G2" s="8"/>
      <c r="H2" s="8"/>
    </row>
    <row r="4" spans="2:8" x14ac:dyDescent="0.45">
      <c r="B4" s="2" t="s">
        <v>23</v>
      </c>
    </row>
    <row r="5" spans="2:8" x14ac:dyDescent="0.45">
      <c r="B5" s="2" t="s">
        <v>0</v>
      </c>
      <c r="G5" s="2" t="s">
        <v>1</v>
      </c>
    </row>
    <row r="6" spans="2:8" x14ac:dyDescent="0.45">
      <c r="C6" s="5">
        <v>3</v>
      </c>
      <c r="D6" s="5">
        <v>2</v>
      </c>
      <c r="E6" s="5">
        <v>100</v>
      </c>
      <c r="G6" s="5">
        <v>105</v>
      </c>
    </row>
    <row r="7" spans="2:8" x14ac:dyDescent="0.45">
      <c r="C7" s="5">
        <v>-1</v>
      </c>
      <c r="D7" s="5">
        <v>3</v>
      </c>
      <c r="E7" s="5">
        <v>100</v>
      </c>
      <c r="G7" s="5">
        <v>102</v>
      </c>
    </row>
    <row r="8" spans="2:8" x14ac:dyDescent="0.45">
      <c r="C8" s="5">
        <v>1</v>
      </c>
      <c r="D8" s="5">
        <v>2</v>
      </c>
      <c r="E8" s="5">
        <v>-1</v>
      </c>
      <c r="G8" s="5">
        <v>2</v>
      </c>
    </row>
    <row r="10" spans="2:8" x14ac:dyDescent="0.45">
      <c r="B10" s="2" t="s">
        <v>24</v>
      </c>
    </row>
    <row r="11" spans="2:8" x14ac:dyDescent="0.45">
      <c r="C11" s="6">
        <v>3</v>
      </c>
      <c r="D11" s="6">
        <v>2</v>
      </c>
      <c r="E11" s="6">
        <v>100</v>
      </c>
      <c r="F11" s="6">
        <v>105</v>
      </c>
    </row>
    <row r="12" spans="2:8" x14ac:dyDescent="0.45">
      <c r="C12" s="6">
        <v>-1</v>
      </c>
      <c r="D12" s="6">
        <v>3</v>
      </c>
      <c r="E12" s="6">
        <v>100</v>
      </c>
      <c r="F12" s="6">
        <v>102</v>
      </c>
    </row>
    <row r="13" spans="2:8" x14ac:dyDescent="0.45">
      <c r="C13" s="6">
        <v>1</v>
      </c>
      <c r="D13" s="6">
        <v>2</v>
      </c>
      <c r="E13" s="6">
        <v>-1</v>
      </c>
      <c r="F13" s="6">
        <v>2</v>
      </c>
    </row>
    <row r="15" spans="2:8" x14ac:dyDescent="0.45">
      <c r="B15" s="1" t="s">
        <v>25</v>
      </c>
      <c r="C15" s="5">
        <f>1/$C$11*C11</f>
        <v>1</v>
      </c>
      <c r="D15" s="5">
        <f>1/$C$11*D11</f>
        <v>0.66666666666666663</v>
      </c>
      <c r="E15" s="5">
        <f>1/$C$11*E11</f>
        <v>33.333333333333329</v>
      </c>
      <c r="F15" s="5">
        <f>1/$C$11*F11</f>
        <v>35</v>
      </c>
    </row>
    <row r="16" spans="2:8" x14ac:dyDescent="0.45">
      <c r="B16" s="1" t="s">
        <v>26</v>
      </c>
      <c r="C16" s="5">
        <f>-$C$12*C15+C12</f>
        <v>0</v>
      </c>
      <c r="D16" s="5">
        <f>-$C$12*D15+D12</f>
        <v>3.6666666666666665</v>
      </c>
      <c r="E16" s="5">
        <f>-$C$12*E15+E12</f>
        <v>133.33333333333331</v>
      </c>
      <c r="F16" s="5">
        <f>-$C$12*F15+F12</f>
        <v>137</v>
      </c>
    </row>
    <row r="17" spans="2:7" x14ac:dyDescent="0.45">
      <c r="B17" s="1" t="s">
        <v>27</v>
      </c>
      <c r="C17" s="5">
        <f>-$C$13*C15+C13</f>
        <v>0</v>
      </c>
      <c r="D17" s="5">
        <f>-$C$13*D15+D13</f>
        <v>1.3333333333333335</v>
      </c>
      <c r="E17" s="5">
        <f>-$C$13*E15+E13</f>
        <v>-34.333333333333329</v>
      </c>
      <c r="F17" s="5">
        <f>-$C$13*F15+F13</f>
        <v>-33</v>
      </c>
    </row>
    <row r="18" spans="2:7" x14ac:dyDescent="0.45">
      <c r="B18" s="1" t="s">
        <v>28</v>
      </c>
      <c r="C18" s="5">
        <f>1/$D$16*C16</f>
        <v>0</v>
      </c>
      <c r="D18" s="5">
        <f>1/$D$16*D16</f>
        <v>1</v>
      </c>
      <c r="E18" s="5">
        <f>1/$D$16*E16</f>
        <v>36.36363636363636</v>
      </c>
      <c r="F18" s="5">
        <f>1/$D$16*F16</f>
        <v>37.363636363636367</v>
      </c>
    </row>
    <row r="19" spans="2:7" x14ac:dyDescent="0.45">
      <c r="B19" s="1" t="s">
        <v>29</v>
      </c>
      <c r="C19" s="5">
        <f>-$D$17*C18+C17</f>
        <v>0</v>
      </c>
      <c r="D19" s="5">
        <f>-$D$17*D18+D17</f>
        <v>0</v>
      </c>
      <c r="E19" s="5">
        <f>-$D$17*E18+E17</f>
        <v>-82.818181818181813</v>
      </c>
      <c r="F19" s="5">
        <f>-$D$17*F18+F17</f>
        <v>-82.818181818181827</v>
      </c>
    </row>
    <row r="21" spans="2:7" x14ac:dyDescent="0.45">
      <c r="B21" s="6" t="s">
        <v>6</v>
      </c>
      <c r="C21" s="5">
        <f>F19/E19</f>
        <v>1.0000000000000002</v>
      </c>
      <c r="E21" s="2" t="s">
        <v>30</v>
      </c>
    </row>
    <row r="22" spans="2:7" x14ac:dyDescent="0.45">
      <c r="B22" s="6" t="s">
        <v>5</v>
      </c>
      <c r="C22" s="5">
        <f>F18-E18*C21</f>
        <v>1</v>
      </c>
      <c r="E22" s="6" t="s">
        <v>4</v>
      </c>
      <c r="F22" s="5">
        <f>C23</f>
        <v>1</v>
      </c>
    </row>
    <row r="23" spans="2:7" x14ac:dyDescent="0.45">
      <c r="B23" s="6" t="s">
        <v>4</v>
      </c>
      <c r="C23" s="5">
        <f>F15-D15*C22-E15*C21</f>
        <v>1</v>
      </c>
      <c r="E23" s="6" t="s">
        <v>5</v>
      </c>
      <c r="F23" s="5">
        <f>C22</f>
        <v>1</v>
      </c>
    </row>
    <row r="24" spans="2:7" x14ac:dyDescent="0.45">
      <c r="E24" s="6" t="s">
        <v>6</v>
      </c>
      <c r="F24" s="5">
        <f>C21</f>
        <v>1.0000000000000002</v>
      </c>
    </row>
    <row r="26" spans="2:7" ht="18" x14ac:dyDescent="0.55000000000000004">
      <c r="B26" s="2" t="s">
        <v>31</v>
      </c>
      <c r="C26" s="7" t="s">
        <v>32</v>
      </c>
    </row>
    <row r="28" spans="2:7" x14ac:dyDescent="0.45">
      <c r="B28" s="2" t="s">
        <v>33</v>
      </c>
    </row>
    <row r="29" spans="2:7" x14ac:dyDescent="0.45">
      <c r="B29" s="2" t="s">
        <v>0</v>
      </c>
      <c r="G29" s="2" t="s">
        <v>1</v>
      </c>
    </row>
    <row r="30" spans="2:7" x14ac:dyDescent="0.45">
      <c r="C30" s="5">
        <v>1</v>
      </c>
      <c r="D30" s="5">
        <v>-2</v>
      </c>
      <c r="E30" s="5">
        <v>1</v>
      </c>
      <c r="G30" s="5">
        <v>2</v>
      </c>
    </row>
    <row r="31" spans="2:7" x14ac:dyDescent="0.45">
      <c r="C31" s="5">
        <v>1</v>
      </c>
      <c r="D31" s="5">
        <v>1</v>
      </c>
      <c r="E31" s="5">
        <v>-1</v>
      </c>
      <c r="G31" s="5">
        <v>3</v>
      </c>
    </row>
    <row r="32" spans="2:7" x14ac:dyDescent="0.45">
      <c r="C32" s="5">
        <v>3</v>
      </c>
      <c r="D32" s="5">
        <v>-3</v>
      </c>
      <c r="E32" s="5">
        <v>1</v>
      </c>
      <c r="G32" s="5">
        <v>7</v>
      </c>
    </row>
    <row r="34" spans="2:6" x14ac:dyDescent="0.45">
      <c r="B34" s="2" t="s">
        <v>24</v>
      </c>
    </row>
    <row r="35" spans="2:6" x14ac:dyDescent="0.45">
      <c r="C35" s="6">
        <v>1</v>
      </c>
      <c r="D35" s="6">
        <v>-2</v>
      </c>
      <c r="E35" s="6">
        <v>1</v>
      </c>
      <c r="F35" s="6">
        <v>2</v>
      </c>
    </row>
    <row r="36" spans="2:6" x14ac:dyDescent="0.45">
      <c r="C36" s="6">
        <v>1</v>
      </c>
      <c r="D36" s="6">
        <v>1</v>
      </c>
      <c r="E36" s="6">
        <v>-1</v>
      </c>
      <c r="F36" s="6">
        <v>3</v>
      </c>
    </row>
    <row r="37" spans="2:6" x14ac:dyDescent="0.45">
      <c r="C37" s="6">
        <v>3</v>
      </c>
      <c r="D37" s="6">
        <v>-3</v>
      </c>
      <c r="E37" s="6">
        <v>1</v>
      </c>
      <c r="F37" s="6">
        <v>7</v>
      </c>
    </row>
    <row r="39" spans="2:6" x14ac:dyDescent="0.45">
      <c r="B39" s="1" t="s">
        <v>25</v>
      </c>
      <c r="C39" s="5">
        <f>1/$C$35*C35</f>
        <v>1</v>
      </c>
      <c r="D39" s="5">
        <f>1/$C$35*D35</f>
        <v>-2</v>
      </c>
      <c r="E39" s="5">
        <f>1/$C$35*E35</f>
        <v>1</v>
      </c>
      <c r="F39" s="5">
        <f>1/$C$35*F35</f>
        <v>2</v>
      </c>
    </row>
    <row r="40" spans="2:6" x14ac:dyDescent="0.45">
      <c r="B40" s="1" t="s">
        <v>26</v>
      </c>
      <c r="C40" s="5">
        <f>-$C$36*C39+C36</f>
        <v>0</v>
      </c>
      <c r="D40" s="5">
        <f>-$C$36*D39+D36</f>
        <v>3</v>
      </c>
      <c r="E40" s="5">
        <f>-$C$36*E39+E36</f>
        <v>-2</v>
      </c>
      <c r="F40" s="5">
        <f>-$C$36*F39+F36</f>
        <v>1</v>
      </c>
    </row>
    <row r="41" spans="2:6" x14ac:dyDescent="0.45">
      <c r="B41" s="1" t="s">
        <v>27</v>
      </c>
      <c r="C41" s="5">
        <f>-$C$37*C39+C37</f>
        <v>0</v>
      </c>
      <c r="D41" s="5">
        <f>-$C$37*D39+D37</f>
        <v>3</v>
      </c>
      <c r="E41" s="5">
        <f>-$C$37*E39+E37</f>
        <v>-2</v>
      </c>
      <c r="F41" s="5">
        <f>-$C$37*F39+F37</f>
        <v>1</v>
      </c>
    </row>
    <row r="42" spans="2:6" x14ac:dyDescent="0.45">
      <c r="B42" s="1" t="s">
        <v>28</v>
      </c>
      <c r="C42" s="5">
        <f>1/$D$40*C40</f>
        <v>0</v>
      </c>
      <c r="D42" s="5">
        <f>1/$D$40*D40</f>
        <v>1</v>
      </c>
      <c r="E42" s="5">
        <f>1/$D$40*E40</f>
        <v>-0.66666666666666663</v>
      </c>
      <c r="F42" s="5">
        <f>1/$D$40*F40</f>
        <v>0.33333333333333331</v>
      </c>
    </row>
    <row r="43" spans="2:6" x14ac:dyDescent="0.45">
      <c r="B43" s="1" t="s">
        <v>29</v>
      </c>
      <c r="C43" s="5">
        <f>-$D$41*C42+C41</f>
        <v>0</v>
      </c>
      <c r="D43" s="5">
        <f>-$D$41*D42+D41</f>
        <v>0</v>
      </c>
      <c r="E43" s="5">
        <f>-$D$41*E42+E41</f>
        <v>0</v>
      </c>
      <c r="F43" s="5">
        <f>-$D$41*F42+F41</f>
        <v>0</v>
      </c>
    </row>
    <row r="45" spans="2:6" ht="18" x14ac:dyDescent="0.55000000000000004">
      <c r="B45" s="2" t="s">
        <v>34</v>
      </c>
      <c r="C45" s="7" t="s">
        <v>35</v>
      </c>
    </row>
    <row r="47" spans="2:6" x14ac:dyDescent="0.45">
      <c r="B47" s="2" t="s">
        <v>17</v>
      </c>
    </row>
    <row r="48" spans="2:6" x14ac:dyDescent="0.45">
      <c r="B48" s="1" t="s">
        <v>36</v>
      </c>
    </row>
    <row r="49" ht="260" customHeight="1" x14ac:dyDescent="0.45"/>
    <row r="65" spans="2:2" x14ac:dyDescent="0.45">
      <c r="B65" s="1" t="s">
        <v>37</v>
      </c>
    </row>
    <row r="66" spans="2:2" ht="300" customHeight="1" x14ac:dyDescent="0.45"/>
    <row r="84" spans="2:2" x14ac:dyDescent="0.45">
      <c r="B84" s="1" t="s">
        <v>38</v>
      </c>
    </row>
    <row r="85" spans="2:2" ht="140" customHeight="1" x14ac:dyDescent="0.45"/>
    <row r="94" spans="2:2" x14ac:dyDescent="0.45">
      <c r="B94" s="1" t="s">
        <v>39</v>
      </c>
    </row>
    <row r="95" spans="2:2" ht="280.05" customHeight="1" x14ac:dyDescent="0.45"/>
    <row r="112" spans="2:2" x14ac:dyDescent="0.45">
      <c r="B112" s="1" t="s">
        <v>40</v>
      </c>
    </row>
    <row r="113" ht="300" customHeight="1" x14ac:dyDescent="0.45"/>
  </sheetData>
  <mergeCells count="1">
    <mergeCell ref="C2:H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19595-165A-4DAF-9473-8BCAD8CBC779}">
  <dimension ref="B2:J67"/>
  <sheetViews>
    <sheetView zoomScale="57" workbookViewId="0">
      <selection activeCell="K21" sqref="K21"/>
    </sheetView>
  </sheetViews>
  <sheetFormatPr defaultRowHeight="14.25" x14ac:dyDescent="0.45"/>
  <cols>
    <col min="1" max="1" width="3.59765625" style="1" customWidth="1"/>
    <col min="2" max="2" width="20.59765625" style="1" customWidth="1"/>
    <col min="3" max="11" width="12.59765625" style="1" customWidth="1"/>
    <col min="12" max="16384" width="9.06640625" style="1"/>
  </cols>
  <sheetData>
    <row r="2" spans="2:10" ht="80" customHeight="1" x14ac:dyDescent="0.55000000000000004">
      <c r="B2" s="3" t="s">
        <v>41</v>
      </c>
      <c r="C2" s="8"/>
      <c r="D2" s="8"/>
      <c r="E2" s="8"/>
      <c r="F2" s="8"/>
      <c r="G2" s="8"/>
      <c r="H2" s="8"/>
    </row>
    <row r="4" spans="2:10" x14ac:dyDescent="0.45">
      <c r="B4" s="2" t="s">
        <v>0</v>
      </c>
      <c r="G4" s="2" t="s">
        <v>1</v>
      </c>
    </row>
    <row r="5" spans="2:10" x14ac:dyDescent="0.45">
      <c r="C5" s="5">
        <v>4</v>
      </c>
      <c r="D5" s="5">
        <v>1</v>
      </c>
      <c r="E5" s="5">
        <v>0</v>
      </c>
      <c r="F5" s="5">
        <v>2</v>
      </c>
      <c r="G5" s="5">
        <v>2</v>
      </c>
    </row>
    <row r="6" spans="2:10" x14ac:dyDescent="0.45">
      <c r="C6" s="5">
        <v>1</v>
      </c>
      <c r="D6" s="5">
        <v>-3</v>
      </c>
      <c r="E6" s="5">
        <v>1</v>
      </c>
      <c r="F6" s="5">
        <v>0</v>
      </c>
      <c r="G6" s="5">
        <v>-3</v>
      </c>
    </row>
    <row r="7" spans="2:10" x14ac:dyDescent="0.45">
      <c r="C7" s="5">
        <v>1</v>
      </c>
      <c r="D7" s="5">
        <v>1</v>
      </c>
      <c r="E7" s="5">
        <v>4</v>
      </c>
      <c r="F7" s="5">
        <v>1</v>
      </c>
      <c r="G7" s="5">
        <v>4</v>
      </c>
    </row>
    <row r="8" spans="2:10" x14ac:dyDescent="0.45">
      <c r="C8" s="5">
        <v>0</v>
      </c>
      <c r="D8" s="5">
        <v>1</v>
      </c>
      <c r="E8" s="5">
        <v>1</v>
      </c>
      <c r="F8" s="5">
        <v>-2</v>
      </c>
      <c r="G8" s="5">
        <v>0</v>
      </c>
    </row>
    <row r="10" spans="2:10" x14ac:dyDescent="0.45">
      <c r="B10" s="2" t="s">
        <v>42</v>
      </c>
      <c r="G10" s="2" t="s">
        <v>43</v>
      </c>
    </row>
    <row r="11" spans="2:10" x14ac:dyDescent="0.45">
      <c r="C11" s="5">
        <v>1</v>
      </c>
      <c r="D11" s="5">
        <v>0</v>
      </c>
      <c r="E11" s="5">
        <v>0</v>
      </c>
      <c r="F11" s="5">
        <v>0</v>
      </c>
      <c r="G11" s="5">
        <v>4</v>
      </c>
      <c r="H11" s="5">
        <v>1</v>
      </c>
      <c r="I11" s="5">
        <v>0</v>
      </c>
      <c r="J11" s="5">
        <v>2</v>
      </c>
    </row>
    <row r="12" spans="2:10" x14ac:dyDescent="0.45">
      <c r="C12" s="5">
        <v>0.25</v>
      </c>
      <c r="D12" s="5">
        <v>1</v>
      </c>
      <c r="E12" s="5">
        <v>0</v>
      </c>
      <c r="F12" s="5">
        <v>0</v>
      </c>
      <c r="G12" s="5">
        <v>0</v>
      </c>
      <c r="H12" s="5">
        <v>-3.25</v>
      </c>
      <c r="I12" s="5">
        <v>1</v>
      </c>
      <c r="J12" s="5">
        <v>-0.5</v>
      </c>
    </row>
    <row r="13" spans="2:10" x14ac:dyDescent="0.45">
      <c r="C13" s="5">
        <v>0.25</v>
      </c>
      <c r="D13" s="5">
        <v>-0.23076923076923078</v>
      </c>
      <c r="E13" s="5">
        <v>1</v>
      </c>
      <c r="F13" s="5">
        <v>0</v>
      </c>
      <c r="G13" s="5">
        <v>0</v>
      </c>
      <c r="H13" s="5">
        <v>0</v>
      </c>
      <c r="I13" s="5">
        <v>4.2307692307692308</v>
      </c>
      <c r="J13" s="5">
        <v>0.38461538461538458</v>
      </c>
    </row>
    <row r="14" spans="2:10" x14ac:dyDescent="0.45">
      <c r="C14" s="5">
        <v>0</v>
      </c>
      <c r="D14" s="5">
        <v>-0.30769230769230771</v>
      </c>
      <c r="E14" s="5">
        <v>0.30909090909090908</v>
      </c>
      <c r="F14" s="5">
        <v>1</v>
      </c>
      <c r="G14" s="5">
        <v>0</v>
      </c>
      <c r="H14" s="5">
        <v>0</v>
      </c>
      <c r="I14" s="5">
        <v>0</v>
      </c>
      <c r="J14" s="5">
        <v>-2.2727272727272725</v>
      </c>
    </row>
    <row r="16" spans="2:10" x14ac:dyDescent="0.45">
      <c r="B16" s="2" t="s">
        <v>44</v>
      </c>
    </row>
    <row r="17" spans="2:6" x14ac:dyDescent="0.45">
      <c r="B17" s="6" t="s">
        <v>45</v>
      </c>
      <c r="C17" s="5">
        <f>INDEX(MMULT(MINVERSE($C$11:$F$14),$G$5:$G$8),1,1)</f>
        <v>2</v>
      </c>
    </row>
    <row r="18" spans="2:6" x14ac:dyDescent="0.45">
      <c r="B18" s="6" t="s">
        <v>46</v>
      </c>
      <c r="C18" s="5">
        <f>INDEX(MMULT(MINVERSE($C$11:$F$14),$G$5:$G$8),2,1)</f>
        <v>-3.5</v>
      </c>
    </row>
    <row r="19" spans="2:6" x14ac:dyDescent="0.45">
      <c r="B19" s="6" t="s">
        <v>47</v>
      </c>
      <c r="C19" s="5">
        <f>INDEX(MMULT(MINVERSE($C$11:$F$14),$G$5:$G$8),3,1)</f>
        <v>2.6923076923076925</v>
      </c>
    </row>
    <row r="20" spans="2:6" x14ac:dyDescent="0.45">
      <c r="B20" s="6" t="s">
        <v>48</v>
      </c>
      <c r="C20" s="5">
        <f>INDEX(MMULT(MINVERSE($C$11:$F$14),$G$5:$G$8),4,1)</f>
        <v>-1.9090909090909092</v>
      </c>
    </row>
    <row r="22" spans="2:6" x14ac:dyDescent="0.45">
      <c r="B22" s="2" t="s">
        <v>49</v>
      </c>
      <c r="E22" s="2" t="s">
        <v>50</v>
      </c>
    </row>
    <row r="23" spans="2:6" x14ac:dyDescent="0.45">
      <c r="B23" s="6" t="s">
        <v>4</v>
      </c>
      <c r="C23" s="5">
        <f>INDEX(MMULT(MINVERSE($G$11:$J$14),$C$17:$C$20),1,1)</f>
        <v>-0.20000000000000012</v>
      </c>
      <c r="E23" s="6" t="s">
        <v>4</v>
      </c>
      <c r="F23" s="5">
        <f>INDEX(MMULT(MINVERSE($C$5:$F$8),$G$5:$G$8),1,1)</f>
        <v>-0.2</v>
      </c>
    </row>
    <row r="24" spans="2:6" x14ac:dyDescent="0.45">
      <c r="B24" s="6" t="s">
        <v>5</v>
      </c>
      <c r="C24" s="5">
        <f>INDEX(MMULT(MINVERSE($G$11:$J$14),$C$17:$C$20),2,1)</f>
        <v>1.1200000000000001</v>
      </c>
      <c r="E24" s="6" t="s">
        <v>5</v>
      </c>
      <c r="F24" s="5">
        <f>INDEX(MMULT(MINVERSE($C$5:$F$8),$G$5:$G$8),2,1)</f>
        <v>1.1199999999999999</v>
      </c>
    </row>
    <row r="25" spans="2:6" x14ac:dyDescent="0.45">
      <c r="B25" s="6" t="s">
        <v>6</v>
      </c>
      <c r="C25" s="5">
        <f>INDEX(MMULT(MINVERSE($G$11:$J$14),$C$17:$C$20),3,1)</f>
        <v>0.55999999999999994</v>
      </c>
      <c r="E25" s="6" t="s">
        <v>6</v>
      </c>
      <c r="F25" s="5">
        <f>INDEX(MMULT(MINVERSE($C$5:$F$8),$G$5:$G$8),3,1)</f>
        <v>0.56000000000000005</v>
      </c>
    </row>
    <row r="26" spans="2:6" x14ac:dyDescent="0.45">
      <c r="B26" s="6" t="s">
        <v>51</v>
      </c>
      <c r="C26" s="5">
        <f>INDEX(MMULT(MINVERSE($G$11:$J$14),$C$17:$C$20),4,1)</f>
        <v>0.84000000000000019</v>
      </c>
      <c r="E26" s="6" t="s">
        <v>51</v>
      </c>
      <c r="F26" s="5">
        <f>INDEX(MMULT(MINVERSE($C$5:$F$8),$G$5:$G$8),4,1)</f>
        <v>0.84000000000000008</v>
      </c>
    </row>
    <row r="28" spans="2:6" ht="18" x14ac:dyDescent="0.55000000000000004">
      <c r="B28" s="2" t="s">
        <v>15</v>
      </c>
      <c r="C28" s="7" t="s">
        <v>52</v>
      </c>
    </row>
    <row r="30" spans="2:6" x14ac:dyDescent="0.45">
      <c r="B30" s="2" t="s">
        <v>17</v>
      </c>
    </row>
    <row r="31" spans="2:6" x14ac:dyDescent="0.45">
      <c r="B31" s="1" t="s">
        <v>18</v>
      </c>
    </row>
    <row r="32" spans="2:6" ht="260" customHeight="1" x14ac:dyDescent="0.45"/>
    <row r="48" spans="2:2" x14ac:dyDescent="0.45">
      <c r="B48" s="1" t="s">
        <v>53</v>
      </c>
    </row>
    <row r="49" ht="280.05" customHeight="1" x14ac:dyDescent="0.45"/>
    <row r="66" spans="2:2" x14ac:dyDescent="0.45">
      <c r="B66" s="1" t="s">
        <v>54</v>
      </c>
    </row>
    <row r="67" spans="2:2" ht="280.05" customHeight="1" x14ac:dyDescent="0.45"/>
  </sheetData>
  <mergeCells count="1">
    <mergeCell ref="C2:H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C855C-7ED1-4E8B-AD02-5D7EF5431FF3}">
  <dimension ref="B2:I83"/>
  <sheetViews>
    <sheetView tabSelected="1" zoomScale="53" workbookViewId="0">
      <selection activeCell="I7" sqref="I7"/>
    </sheetView>
  </sheetViews>
  <sheetFormatPr defaultRowHeight="14.25" x14ac:dyDescent="0.45"/>
  <cols>
    <col min="1" max="1" width="3.59765625" style="1" customWidth="1"/>
    <col min="2" max="2" width="20.59765625" style="1" customWidth="1"/>
    <col min="3" max="11" width="12.59765625" style="1" customWidth="1"/>
    <col min="12" max="16384" width="9.06640625" style="1"/>
  </cols>
  <sheetData>
    <row r="2" spans="2:8" ht="80" customHeight="1" x14ac:dyDescent="0.55000000000000004">
      <c r="B2" s="3" t="s">
        <v>55</v>
      </c>
      <c r="C2" s="8"/>
      <c r="D2" s="8"/>
      <c r="E2" s="8"/>
      <c r="F2" s="8"/>
      <c r="G2" s="8"/>
      <c r="H2" s="8"/>
    </row>
    <row r="4" spans="2:8" x14ac:dyDescent="0.45">
      <c r="B4" s="2" t="s">
        <v>0</v>
      </c>
      <c r="G4" s="2" t="s">
        <v>1</v>
      </c>
    </row>
    <row r="5" spans="2:8" x14ac:dyDescent="0.45">
      <c r="C5" s="5">
        <v>4</v>
      </c>
      <c r="D5" s="5">
        <v>1</v>
      </c>
      <c r="E5" s="5">
        <v>0</v>
      </c>
      <c r="F5" s="5">
        <v>2</v>
      </c>
      <c r="G5" s="5">
        <v>7</v>
      </c>
    </row>
    <row r="6" spans="2:8" x14ac:dyDescent="0.45">
      <c r="C6" s="5">
        <v>1</v>
      </c>
      <c r="D6" s="5">
        <v>3</v>
      </c>
      <c r="E6" s="5">
        <v>-1</v>
      </c>
      <c r="F6" s="5">
        <v>0</v>
      </c>
      <c r="G6" s="5">
        <v>3</v>
      </c>
    </row>
    <row r="7" spans="2:8" x14ac:dyDescent="0.45">
      <c r="C7" s="5">
        <v>0</v>
      </c>
      <c r="D7" s="5">
        <v>-1</v>
      </c>
      <c r="E7" s="5">
        <v>3</v>
      </c>
      <c r="F7" s="5">
        <v>2</v>
      </c>
      <c r="G7" s="5">
        <v>4</v>
      </c>
    </row>
    <row r="8" spans="2:8" x14ac:dyDescent="0.45">
      <c r="C8" s="5">
        <v>2</v>
      </c>
      <c r="D8" s="5">
        <v>0</v>
      </c>
      <c r="E8" s="5">
        <v>2</v>
      </c>
      <c r="F8" s="5">
        <v>4</v>
      </c>
      <c r="G8" s="5">
        <v>8</v>
      </c>
    </row>
    <row r="10" spans="2:8" x14ac:dyDescent="0.45">
      <c r="B10" s="2" t="s">
        <v>56</v>
      </c>
    </row>
    <row r="11" spans="2:8" x14ac:dyDescent="0.45">
      <c r="C11" s="5">
        <f>SQRT(C5)</f>
        <v>2</v>
      </c>
      <c r="D11" s="5">
        <f>D5/C11</f>
        <v>0.5</v>
      </c>
      <c r="E11" s="5">
        <f>E5/C11</f>
        <v>0</v>
      </c>
      <c r="F11" s="5">
        <f>F5/C11</f>
        <v>1</v>
      </c>
    </row>
    <row r="12" spans="2:8" x14ac:dyDescent="0.45">
      <c r="C12" s="5">
        <f>0</f>
        <v>0</v>
      </c>
      <c r="D12" s="5">
        <f>SQRT(D6-D11^2)</f>
        <v>1.6583123951776999</v>
      </c>
      <c r="E12" s="5">
        <f>(E6-E11*D11)/D12</f>
        <v>-0.60302268915552726</v>
      </c>
      <c r="F12" s="5">
        <f>(F6-F11*D11)/D12</f>
        <v>-0.30151134457776363</v>
      </c>
    </row>
    <row r="13" spans="2:8" x14ac:dyDescent="0.45">
      <c r="C13" s="5">
        <f>0</f>
        <v>0</v>
      </c>
      <c r="D13" s="5">
        <f>0</f>
        <v>0</v>
      </c>
      <c r="E13" s="5">
        <f>SQRT(E7-E11^2-E12^2)</f>
        <v>1.6236882817719773</v>
      </c>
      <c r="F13" s="5">
        <f>(F7-F11*E11-F12*E12)/E13</f>
        <v>1.1197850219117087</v>
      </c>
    </row>
    <row r="14" spans="2:8" x14ac:dyDescent="0.45">
      <c r="C14" s="5">
        <f>0</f>
        <v>0</v>
      </c>
      <c r="D14" s="5">
        <f>0</f>
        <v>0</v>
      </c>
      <c r="E14" s="5">
        <f>0</f>
        <v>0</v>
      </c>
      <c r="F14" s="5">
        <f>SQRT(F8-F11^2-F12^2-F13^2)</f>
        <v>1.2865350418053536</v>
      </c>
    </row>
    <row r="16" spans="2:8" x14ac:dyDescent="0.45">
      <c r="B16" s="2" t="s">
        <v>57</v>
      </c>
    </row>
    <row r="17" spans="2:9" x14ac:dyDescent="0.45">
      <c r="C17" s="5">
        <f>INDEX($C$11:$F$14,1,1)</f>
        <v>2</v>
      </c>
      <c r="D17" s="5">
        <f>INDEX($C$11:$F$14,2,1)</f>
        <v>0</v>
      </c>
      <c r="E17" s="5">
        <f>INDEX($C$11:$F$14,3,1)</f>
        <v>0</v>
      </c>
      <c r="F17" s="5">
        <f>INDEX($C$11:$F$14,4,1)</f>
        <v>0</v>
      </c>
    </row>
    <row r="18" spans="2:9" x14ac:dyDescent="0.45">
      <c r="C18" s="5">
        <f>INDEX($C$11:$F$14,1,2)</f>
        <v>0.5</v>
      </c>
      <c r="D18" s="5">
        <f>INDEX($C$11:$F$14,2,2)</f>
        <v>1.6583123951776999</v>
      </c>
      <c r="E18" s="5">
        <f>INDEX($C$11:$F$14,3,2)</f>
        <v>0</v>
      </c>
      <c r="F18" s="5">
        <f>INDEX($C$11:$F$14,4,2)</f>
        <v>0</v>
      </c>
    </row>
    <row r="19" spans="2:9" x14ac:dyDescent="0.45">
      <c r="C19" s="5">
        <f>INDEX($C$11:$F$14,1,3)</f>
        <v>0</v>
      </c>
      <c r="D19" s="5">
        <f>INDEX($C$11:$F$14,2,3)</f>
        <v>-0.60302268915552726</v>
      </c>
      <c r="E19" s="5">
        <f>INDEX($C$11:$F$14,3,3)</f>
        <v>1.6236882817719773</v>
      </c>
      <c r="F19" s="5">
        <f>INDEX($C$11:$F$14,4,3)</f>
        <v>0</v>
      </c>
    </row>
    <row r="20" spans="2:9" x14ac:dyDescent="0.45">
      <c r="C20" s="5">
        <f>INDEX($C$11:$F$14,1,4)</f>
        <v>1</v>
      </c>
      <c r="D20" s="5">
        <f>INDEX($C$11:$F$14,2,4)</f>
        <v>-0.30151134457776363</v>
      </c>
      <c r="E20" s="5">
        <f>INDEX($C$11:$F$14,3,4)</f>
        <v>1.1197850219117087</v>
      </c>
      <c r="F20" s="5">
        <f>INDEX($C$11:$F$14,4,4)</f>
        <v>1.2865350418053536</v>
      </c>
    </row>
    <row r="22" spans="2:9" x14ac:dyDescent="0.45">
      <c r="B22" s="2" t="s">
        <v>44</v>
      </c>
      <c r="E22" s="2" t="s">
        <v>49</v>
      </c>
      <c r="H22" s="2" t="s">
        <v>50</v>
      </c>
    </row>
    <row r="23" spans="2:9" x14ac:dyDescent="0.45">
      <c r="B23" s="6" t="s">
        <v>45</v>
      </c>
      <c r="C23" s="5">
        <f>INDEX(MMULT(MINVERSE($C$17:$F$20),$G$5:$G$8),1,1)</f>
        <v>3.5</v>
      </c>
      <c r="E23" s="6" t="s">
        <v>4</v>
      </c>
      <c r="F23" s="5">
        <f>INDEX(MMULT(MINVERSE($C$11:$F$14),$C$23:$C$26),1,1)</f>
        <v>0.99999999999999978</v>
      </c>
      <c r="H23" s="6" t="s">
        <v>4</v>
      </c>
      <c r="I23" s="5">
        <f>INDEX(MMULT(MINVERSE($C$5:$F$8),$G$5:$G$8),1,1)</f>
        <v>1</v>
      </c>
    </row>
    <row r="24" spans="2:9" x14ac:dyDescent="0.45">
      <c r="B24" s="6" t="s">
        <v>46</v>
      </c>
      <c r="C24" s="5">
        <f>INDEX(MMULT(MINVERSE($C$17:$F$20),$G$5:$G$8),2,1)</f>
        <v>0.75377836144440913</v>
      </c>
      <c r="E24" s="6" t="s">
        <v>5</v>
      </c>
      <c r="F24" s="5">
        <f>INDEX(MMULT(MINVERSE($C$11:$F$14),$C$23:$C$26),2,1)</f>
        <v>1</v>
      </c>
      <c r="H24" s="6" t="s">
        <v>5</v>
      </c>
      <c r="I24" s="5">
        <f>INDEX(MMULT(MINVERSE($C$5:$F$8),$G$5:$G$8),2,1)</f>
        <v>1.0000000000000002</v>
      </c>
    </row>
    <row r="25" spans="2:9" x14ac:dyDescent="0.45">
      <c r="B25" s="6" t="s">
        <v>47</v>
      </c>
      <c r="C25" s="5">
        <f>INDEX(MMULT(MINVERSE($C$17:$F$20),$G$5:$G$8),3,1)</f>
        <v>2.743473303683686</v>
      </c>
      <c r="E25" s="6" t="s">
        <v>6</v>
      </c>
      <c r="F25" s="5">
        <f>INDEX(MMULT(MINVERSE($C$11:$F$14),$C$23:$C$26),3,1)</f>
        <v>1</v>
      </c>
      <c r="H25" s="6" t="s">
        <v>6</v>
      </c>
      <c r="I25" s="5">
        <f>INDEX(MMULT(MINVERSE($C$5:$F$8),$G$5:$G$8),3,1)</f>
        <v>1</v>
      </c>
    </row>
    <row r="26" spans="2:9" x14ac:dyDescent="0.45">
      <c r="B26" s="6" t="s">
        <v>48</v>
      </c>
      <c r="C26" s="5">
        <f>INDEX(MMULT(MINVERSE($C$17:$F$20),$G$5:$G$8),4,1)</f>
        <v>1.2865350418053536</v>
      </c>
      <c r="E26" s="6" t="s">
        <v>51</v>
      </c>
      <c r="F26" s="5">
        <f>INDEX(MMULT(MINVERSE($C$11:$F$14),$C$23:$C$26),4,1)</f>
        <v>1</v>
      </c>
      <c r="H26" s="6" t="s">
        <v>51</v>
      </c>
      <c r="I26" s="5">
        <f>INDEX(MMULT(MINVERSE($C$5:$F$8),$G$5:$G$8),4,1)</f>
        <v>1</v>
      </c>
    </row>
    <row r="28" spans="2:9" ht="18" x14ac:dyDescent="0.55000000000000004">
      <c r="B28" s="2" t="s">
        <v>15</v>
      </c>
      <c r="C28" s="7" t="s">
        <v>58</v>
      </c>
    </row>
    <row r="30" spans="2:9" x14ac:dyDescent="0.45">
      <c r="B30" s="2" t="s">
        <v>17</v>
      </c>
    </row>
    <row r="31" spans="2:9" x14ac:dyDescent="0.45">
      <c r="B31" s="1" t="s">
        <v>18</v>
      </c>
    </row>
    <row r="32" spans="2:9" ht="250.05" customHeight="1" x14ac:dyDescent="0.45"/>
    <row r="48" spans="2:2" x14ac:dyDescent="0.45">
      <c r="B48" s="1" t="s">
        <v>59</v>
      </c>
    </row>
    <row r="49" ht="260" customHeight="1" x14ac:dyDescent="0.45"/>
    <row r="65" spans="2:2" x14ac:dyDescent="0.45">
      <c r="B65" s="1" t="s">
        <v>60</v>
      </c>
    </row>
    <row r="66" spans="2:2" ht="260" customHeight="1" x14ac:dyDescent="0.45"/>
    <row r="82" spans="2:2" x14ac:dyDescent="0.45">
      <c r="B82" s="1" t="s">
        <v>61</v>
      </c>
    </row>
    <row r="83" spans="2:2" ht="240" customHeight="1" x14ac:dyDescent="0.45"/>
  </sheetData>
  <mergeCells count="1">
    <mergeCell ref="C2:H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ejercicio 1</vt:lpstr>
      <vt:lpstr>ejercicio 2</vt:lpstr>
      <vt:lpstr>ejercicio 3</vt:lpstr>
      <vt:lpstr>ejercicio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YASEN CUTIPA MAYHUA</dc:creator>
  <cp:lastModifiedBy>YASEN CUTIPA MAYHUA</cp:lastModifiedBy>
  <dcterms:created xsi:type="dcterms:W3CDTF">2026-09-16T19:38:53Z</dcterms:created>
  <dcterms:modified xsi:type="dcterms:W3CDTF">2026-09-21T14:10:53Z</dcterms:modified>
</cp:coreProperties>
</file>